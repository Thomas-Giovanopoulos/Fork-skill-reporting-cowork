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7" autoFilterDateGrouping="1"/>
  </bookViews>
  <sheets>
    <sheet xmlns:r="http://schemas.openxmlformats.org/officeDocument/2006/relationships" name="Entités" sheetId="1" state="visible" r:id="rId1"/>
    <sheet xmlns:r="http://schemas.openxmlformats.org/officeDocument/2006/relationships" name="Liq — PP" sheetId="2" state="visible" r:id="rId2"/>
    <sheet xmlns:r="http://schemas.openxmlformats.org/officeDocument/2006/relationships" name="Liq — Holding 1" sheetId="3" state="visible" r:id="rId3"/>
    <sheet xmlns:r="http://schemas.openxmlformats.org/officeDocument/2006/relationships" name="Liq — Holding 2" sheetId="4" state="visible" r:id="rId4"/>
    <sheet xmlns:r="http://schemas.openxmlformats.org/officeDocument/2006/relationships" name="Immo — PP" sheetId="5" state="visible" r:id="rId5"/>
    <sheet xmlns:r="http://schemas.openxmlformats.org/officeDocument/2006/relationships" name="Immo — Holding 1" sheetId="6" state="visible" r:id="rId6"/>
    <sheet xmlns:r="http://schemas.openxmlformats.org/officeDocument/2006/relationships" name="Immo — Holding 2" sheetId="7" state="visible" r:id="rId7"/>
    <sheet xmlns:r="http://schemas.openxmlformats.org/officeDocument/2006/relationships" name="Fin coté — PP" sheetId="8" state="visible" r:id="rId8"/>
    <sheet xmlns:r="http://schemas.openxmlformats.org/officeDocument/2006/relationships" name="Fin coté — Holding 1" sheetId="9" state="visible" r:id="rId9"/>
    <sheet xmlns:r="http://schemas.openxmlformats.org/officeDocument/2006/relationships" name="Fin coté — Holding 2" sheetId="10" state="visible" r:id="rId10"/>
    <sheet xmlns:r="http://schemas.openxmlformats.org/officeDocument/2006/relationships" name="Mouvements — PP" sheetId="11" state="visible" r:id="rId11"/>
    <sheet xmlns:r="http://schemas.openxmlformats.org/officeDocument/2006/relationships" name="Mouvements — Holding 1" sheetId="12" state="visible" r:id="rId12"/>
    <sheet xmlns:r="http://schemas.openxmlformats.org/officeDocument/2006/relationships" name="Mouvements — Holding 2" sheetId="13" state="visible" r:id="rId13"/>
    <sheet xmlns:r="http://schemas.openxmlformats.org/officeDocument/2006/relationships" name="Non coté — PP" sheetId="14" state="visible" r:id="rId14"/>
    <sheet xmlns:r="http://schemas.openxmlformats.org/officeDocument/2006/relationships" name="NC Flux — PP" sheetId="15" state="visible" r:id="rId15"/>
    <sheet xmlns:r="http://schemas.openxmlformats.org/officeDocument/2006/relationships" name="Non coté — Holding 1" sheetId="16" state="visible" r:id="rId16"/>
    <sheet xmlns:r="http://schemas.openxmlformats.org/officeDocument/2006/relationships" name="NC Flux — Holding 1" sheetId="17" state="visible" r:id="rId17"/>
    <sheet xmlns:r="http://schemas.openxmlformats.org/officeDocument/2006/relationships" name="Non coté — Holding 2" sheetId="18" state="visible" r:id="rId18"/>
    <sheet xmlns:r="http://schemas.openxmlformats.org/officeDocument/2006/relationships" name="NC Flux — Holding 2" sheetId="19" state="visible" r:id="rId19"/>
    <sheet xmlns:r="http://schemas.openxmlformats.org/officeDocument/2006/relationships" name="Dettes — PP" sheetId="20" state="visible" r:id="rId20"/>
    <sheet xmlns:r="http://schemas.openxmlformats.org/officeDocument/2006/relationships" name="Dettes — Holding 1" sheetId="21" state="visible" r:id="rId21"/>
    <sheet xmlns:r="http://schemas.openxmlformats.org/officeDocument/2006/relationships" name="Dettes — Holding 2" sheetId="22" state="visible" r:id="rId22"/>
    <sheet xmlns:r="http://schemas.openxmlformats.org/officeDocument/2006/relationships" name="Indices" sheetId="23" state="visible" r:id="rId23"/>
    <sheet xmlns:r="http://schemas.openxmlformats.org/officeDocument/2006/relationships" name="Valorisations" sheetId="24" state="visible" r:id="rId24"/>
    <sheet xmlns:r="http://schemas.openxmlformats.org/officeDocument/2006/relationships" name="Historique" sheetId="25" state="visible" r:id="rId25"/>
    <sheet xmlns:r="http://schemas.openxmlformats.org/officeDocument/2006/relationships" name="Arbitrages — PP" sheetId="26" state="visible" r:id="rId26"/>
    <sheet xmlns:r="http://schemas.openxmlformats.org/officeDocument/2006/relationships" name="Lignes — PP" sheetId="27" state="visible" r:id="rId27"/>
    <sheet xmlns:r="http://schemas.openxmlformats.org/officeDocument/2006/relationships" name="Arbitrages — Holding 1" sheetId="28" state="visible" r:id="rId28"/>
    <sheet xmlns:r="http://schemas.openxmlformats.org/officeDocument/2006/relationships" name="Lignes — Holding 1" sheetId="29" state="visible" r:id="rId29"/>
    <sheet xmlns:r="http://schemas.openxmlformats.org/officeDocument/2006/relationships" name="Arbitrages — Holding 2" sheetId="30" state="visible" r:id="rId30"/>
    <sheet xmlns:r="http://schemas.openxmlformats.org/officeDocument/2006/relationships" name="Lignes — Holding 2" sheetId="31" state="visible" r:id="rId31"/>
    <sheet xmlns:r="http://schemas.openxmlformats.org/officeDocument/2006/relationships" name="Produits structurés — PP" sheetId="32" state="visible" r:id="rId32"/>
    <sheet xmlns:r="http://schemas.openxmlformats.org/officeDocument/2006/relationships" name="Produits structurés — Holding 1" sheetId="33" state="visible" r:id="rId33"/>
    <sheet xmlns:r="http://schemas.openxmlformats.org/officeDocument/2006/relationships" name="Produits structurés — Holding 2" sheetId="34" state="visible" r:id="rId34"/>
    <sheet xmlns:r="http://schemas.openxmlformats.org/officeDocument/2006/relationships" name="Cours PS — PP" sheetId="35" state="visible" r:id="rId35"/>
    <sheet xmlns:r="http://schemas.openxmlformats.org/officeDocument/2006/relationships" name="Cours PS — Holding 1" sheetId="36" state="visible" r:id="rId36"/>
    <sheet xmlns:r="http://schemas.openxmlformats.org/officeDocument/2006/relationships" name="Cours PS — Holding 2" sheetId="37" state="visible" r:id="rId3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9">
    <numFmt numFmtId="164" formatCode="#,##0&quot; €&quot;;\-#,##0&quot; €&quot;;\-"/>
    <numFmt numFmtId="165" formatCode="dd/mm/yyyy"/>
    <numFmt numFmtId="166" formatCode="0.000"/>
    <numFmt numFmtId="167" formatCode="0.0\x"/>
    <numFmt numFmtId="168" formatCode="#,##0&quot; €&quot;"/>
    <numFmt numFmtId="169" formatCode="#,##0&quot; €&quot;;[RED]\(#,##0&quot; €)&quot;;\-"/>
    <numFmt numFmtId="170" formatCode="\+0.00%;[RED]\-0.00%;\-"/>
    <numFmt numFmtId="171" formatCode="0.0&quot;%&quot;"/>
    <numFmt numFmtId="172" formatCode="DD/MM/YYYY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D1B2A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D4B07A"/>
      <sz val="11"/>
    </font>
    <font>
      <name val="Arial"/>
      <charset val="1"/>
      <family val="0"/>
      <color rgb="FFFFFFFF"/>
      <sz val="11"/>
    </font>
    <font>
      <name val="Arial"/>
      <charset val="1"/>
      <family val="0"/>
      <b val="1"/>
      <color rgb="FF0D1B2A"/>
      <sz val="9"/>
    </font>
    <font>
      <name val="Arial"/>
      <charset val="1"/>
      <family val="0"/>
      <i val="1"/>
      <color rgb="FF7A8899"/>
      <sz val="8"/>
    </font>
    <font>
      <name val="Arial"/>
      <charset val="1"/>
      <family val="2"/>
      <i val="1"/>
      <color rgb="FF666666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00"/>
      <sz val="10"/>
    </font>
    <font>
      <name val="Arial"/>
      <charset val="1"/>
      <family val="2"/>
      <color rgb="FF0000FF"/>
      <sz val="9"/>
    </font>
    <font>
      <name val="Arial"/>
      <charset val="1"/>
      <family val="0"/>
      <b val="1"/>
      <color rgb="FF0D1B2A"/>
      <sz val="10"/>
    </font>
    <font>
      <name val="Arial"/>
      <b val="1"/>
      <color rgb="FFFFFFFF"/>
      <sz val="10"/>
    </font>
    <font>
      <name val="Arial"/>
      <color rgb="FF0000FF"/>
      <sz val="10"/>
    </font>
    <font>
      <name val="Arial"/>
      <b val="1"/>
      <color rgb="FF0D1B2A"/>
      <sz val="12"/>
    </font>
    <font>
      <name val="Arial"/>
      <i val="1"/>
      <color rgb="FF666666"/>
      <sz val="9"/>
    </font>
  </fonts>
  <fills count="8">
    <fill>
      <patternFill/>
    </fill>
    <fill>
      <patternFill patternType="gray125"/>
    </fill>
    <fill>
      <patternFill patternType="solid">
        <fgColor rgb="FFF5EDD8"/>
        <bgColor rgb="FFFFFDE7"/>
      </patternFill>
    </fill>
    <fill>
      <patternFill patternType="solid">
        <fgColor rgb="FF0D1B2A"/>
        <bgColor rgb="FF000000"/>
      </patternFill>
    </fill>
    <fill>
      <patternFill patternType="solid">
        <fgColor rgb="FFFFFDE7"/>
        <bgColor rgb="FFFFFFFF"/>
      </patternFill>
    </fill>
    <fill>
      <patternFill patternType="solid">
        <fgColor rgb="FF0D1B2A"/>
      </patternFill>
    </fill>
    <fill>
      <patternFill patternType="solid">
        <fgColor rgb="FFFFFDE7"/>
      </patternFill>
    </fill>
    <fill>
      <patternFill patternType="solid">
        <fgColor rgb="FFF5EDD8"/>
      </patternFill>
    </fill>
  </fills>
  <borders count="3">
    <border>
      <left/>
      <right/>
      <top/>
      <bottom/>
      <diagonal/>
    </border>
    <border>
      <left style="thin">
        <color rgb="FFD6CFC0"/>
      </left>
      <right style="thin">
        <color rgb="FFD6CFC0"/>
      </right>
      <top style="thin">
        <color rgb="FFD6CFC0"/>
      </top>
      <bottom style="thin">
        <color rgb="FFD6CFC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indent="1"/>
    </xf>
    <xf numFmtId="164" fontId="6" fillId="4" borderId="1" applyAlignment="1" pivotButton="0" quotePrefix="0" xfId="0">
      <alignment horizontal="right" vertical="center" indent="1"/>
    </xf>
    <xf numFmtId="0" fontId="7" fillId="3" borderId="0" applyAlignment="1" pivotButton="0" quotePrefix="0" xfId="0">
      <alignment horizontal="left" vertical="center" indent="1"/>
    </xf>
    <xf numFmtId="0" fontId="8" fillId="3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right" vertical="center" inden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1" fontId="6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165" fontId="6" fillId="4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 wrapText="1"/>
    </xf>
    <xf numFmtId="1" fontId="13" fillId="0" borderId="1" applyAlignment="1" pivotButton="0" quotePrefix="0" xfId="0">
      <alignment horizontal="right" vertical="center" indent="1"/>
    </xf>
    <xf numFmtId="166" fontId="13" fillId="0" borderId="1" applyAlignment="1" pivotButton="0" quotePrefix="0" xfId="0">
      <alignment horizontal="right" vertical="center" indent="1"/>
    </xf>
    <xf numFmtId="167" fontId="6" fillId="4" borderId="1" applyAlignment="1" pivotButton="0" quotePrefix="0" xfId="0">
      <alignment horizontal="left" vertical="center" indent="1"/>
    </xf>
    <xf numFmtId="164" fontId="13" fillId="0" borderId="1" applyAlignment="1" pivotButton="0" quotePrefix="0" xfId="0">
      <alignment horizontal="right" vertical="center" indent="1"/>
    </xf>
    <xf numFmtId="0" fontId="13" fillId="0" borderId="1" applyAlignment="1" pivotButton="0" quotePrefix="0" xfId="0">
      <alignment horizontal="right" vertical="center" indent="1"/>
    </xf>
    <xf numFmtId="0" fontId="9" fillId="0" borderId="0" applyAlignment="1" pivotButton="0" quotePrefix="0" xfId="0">
      <alignment horizontal="left" vertical="center"/>
    </xf>
    <xf numFmtId="1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168" fontId="6" fillId="4" borderId="0" applyAlignment="1" pivotButton="0" quotePrefix="0" xfId="0">
      <alignment horizontal="right" vertical="bottom"/>
    </xf>
    <xf numFmtId="0" fontId="5" fillId="3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165" fontId="6" fillId="4" borderId="0" applyAlignment="1" pivotButton="0" quotePrefix="0" xfId="0">
      <alignment horizontal="center" vertical="bottom"/>
    </xf>
    <xf numFmtId="169" fontId="13" fillId="0" borderId="0" applyAlignment="1" pivotButton="0" quotePrefix="0" xfId="0">
      <alignment horizontal="right" vertical="bottom"/>
    </xf>
    <xf numFmtId="2" fontId="13" fillId="0" borderId="0" applyAlignment="1" pivotButton="0" quotePrefix="0" xfId="0">
      <alignment horizontal="center" vertical="bottom"/>
    </xf>
    <xf numFmtId="170" fontId="13" fillId="0" borderId="0" applyAlignment="1" pivotButton="0" quotePrefix="0" xfId="0">
      <alignment horizontal="right" vertical="bottom"/>
    </xf>
    <xf numFmtId="0" fontId="5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168" fontId="5" fillId="3" borderId="0" applyAlignment="1" pivotButton="0" quotePrefix="0" xfId="0">
      <alignment horizontal="right" vertical="bottom"/>
    </xf>
    <xf numFmtId="169" fontId="5" fillId="3" borderId="0" applyAlignment="1" pivotButton="0" quotePrefix="0" xfId="0">
      <alignment horizontal="right" vertical="bottom"/>
    </xf>
    <xf numFmtId="170" fontId="5" fillId="3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indent="1"/>
    </xf>
    <xf numFmtId="164" fontId="6" fillId="4" borderId="1" applyAlignment="1" pivotButton="0" quotePrefix="0" xfId="0">
      <alignment horizontal="right" vertical="center" indent="1"/>
    </xf>
    <xf numFmtId="0" fontId="7" fillId="3" borderId="0" applyAlignment="1" pivotButton="0" quotePrefix="0" xfId="0">
      <alignment horizontal="left" vertical="center" indent="1"/>
    </xf>
    <xf numFmtId="0" fontId="8" fillId="3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right" vertical="center" inden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1" fontId="6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 wrapText="1"/>
    </xf>
    <xf numFmtId="165" fontId="6" fillId="4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0" fontId="12" fillId="3" borderId="1" applyAlignment="1" pivotButton="0" quotePrefix="0" xfId="0">
      <alignment horizontal="center" vertical="center" wrapText="1"/>
    </xf>
    <xf numFmtId="1" fontId="13" fillId="0" borderId="1" applyAlignment="1" pivotButton="0" quotePrefix="0" xfId="0">
      <alignment horizontal="right" vertical="center" indent="1"/>
    </xf>
    <xf numFmtId="166" fontId="13" fillId="0" borderId="1" applyAlignment="1" pivotButton="0" quotePrefix="0" xfId="0">
      <alignment horizontal="right" vertical="center" indent="1"/>
    </xf>
    <xf numFmtId="167" fontId="6" fillId="4" borderId="1" applyAlignment="1" pivotButton="0" quotePrefix="0" xfId="0">
      <alignment horizontal="left" vertical="center" indent="1"/>
    </xf>
    <xf numFmtId="164" fontId="13" fillId="0" borderId="1" applyAlignment="1" pivotButton="0" quotePrefix="0" xfId="0">
      <alignment horizontal="right" vertical="center" indent="1"/>
    </xf>
    <xf numFmtId="0" fontId="13" fillId="0" borderId="1" applyAlignment="1" pivotButton="0" quotePrefix="0" xfId="0">
      <alignment horizontal="right" vertical="center" indent="1"/>
    </xf>
    <xf numFmtId="10" fontId="14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16" fillId="5" borderId="2" applyAlignment="1" pivotButton="0" quotePrefix="0" xfId="0">
      <alignment horizontal="center" vertical="center" wrapText="1"/>
    </xf>
    <xf numFmtId="171" fontId="17" fillId="6" borderId="2" applyAlignment="1" pivotButton="0" quotePrefix="0" xfId="0">
      <alignment horizontal="right" vertical="center"/>
    </xf>
    <xf numFmtId="0" fontId="18" fillId="7" borderId="0" applyAlignment="1" pivotButton="0" quotePrefix="0" xfId="0">
      <alignment horizontal="left" vertical="center"/>
    </xf>
    <xf numFmtId="0" fontId="17" fillId="6" borderId="2" applyAlignment="1" pivotButton="0" quotePrefix="0" xfId="0">
      <alignment horizontal="left" vertical="center"/>
    </xf>
    <xf numFmtId="172" fontId="17" fillId="6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164" fontId="17" fillId="6" borderId="2" applyAlignment="1" pivotButton="0" quotePrefix="0" xfId="0">
      <alignment horizontal="right" vertical="center"/>
    </xf>
    <xf numFmtId="0" fontId="19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CFC0"/>
      <rgbColor rgb="FF7A8899"/>
      <rgbColor rgb="FF9999FF"/>
      <rgbColor rgb="FF993366"/>
      <rgbColor rgb="FFFFFD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DD8"/>
      <rgbColor rgb="FF99CCFF"/>
      <rgbColor rgb="FFFF99CC"/>
      <rgbColor rgb="FFCC99FF"/>
      <rgbColor rgb="FFD4B07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D1B2A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ENTITÉS DU PATRIMOINE</t>
        </is>
      </c>
    </row>
    <row r="2">
      <c r="A2" s="38" t="inlineStr">
        <is>
          <t>Profil de risque :</t>
        </is>
      </c>
      <c r="B2" s="38" t="inlineStr">
        <is>
          <t>Équilibré</t>
        </is>
      </c>
    </row>
    <row r="3">
      <c r="A3" s="38" t="inlineStr">
        <is>
          <t>id</t>
        </is>
      </c>
      <c r="B3" s="38" t="inlineStr">
        <is>
          <t>label</t>
        </is>
      </c>
      <c r="C3" s="38" t="inlineStr">
        <is>
          <t>type (pp/holding)</t>
        </is>
      </c>
      <c r="D3" s="38" t="inlineStr">
        <is>
          <t>onglet (suffixe)</t>
        </is>
      </c>
    </row>
    <row r="4">
      <c r="A4" s="38" t="inlineStr">
        <is>
          <t>pp</t>
        </is>
      </c>
      <c r="B4" s="38" t="inlineStr">
        <is>
          <t>[Prénom N.]</t>
        </is>
      </c>
      <c r="C4" s="38" t="inlineStr">
        <is>
          <t>pp</t>
        </is>
      </c>
      <c r="D4" s="38" t="inlineStr">
        <is>
          <t>PP</t>
        </is>
      </c>
    </row>
    <row r="5">
      <c r="A5" s="38" t="inlineStr">
        <is>
          <t>holding_1</t>
        </is>
      </c>
      <c r="B5" s="38" t="inlineStr">
        <is>
          <t>[Raison sociale 1]</t>
        </is>
      </c>
      <c r="C5" s="38" t="inlineStr">
        <is>
          <t>holding</t>
        </is>
      </c>
      <c r="D5" s="38" t="inlineStr">
        <is>
          <t>Holding 1</t>
        </is>
      </c>
    </row>
    <row r="6">
      <c r="A6" s="38" t="inlineStr">
        <is>
          <t>holding_2</t>
        </is>
      </c>
      <c r="B6" s="38" t="inlineStr">
        <is>
          <t>[Raison sociale 2]</t>
        </is>
      </c>
      <c r="C6" s="38" t="inlineStr">
        <is>
          <t>holding</t>
        </is>
      </c>
      <c r="D6" s="38" t="inlineStr">
        <is>
          <t>Holding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9"/>
  <sheetViews>
    <sheetView showFormulas="0" showGridLines="1" showRowColHeaders="1" showZeros="1" rightToLeft="0" tabSelected="0" showOutlineSymbols="1" defaultGridColor="1" view="normal" topLeftCell="A1" colorId="64" zoomScale="150" zoomScaleNormal="15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C10" activeCellId="0" sqref="C10"/>
    </sheetView>
  </sheetViews>
  <sheetFormatPr baseColWidth="8" defaultColWidth="8.66796875" defaultRowHeight="15" zeroHeight="0" outlineLevelRow="0"/>
  <cols>
    <col width="26" customWidth="1" style="38" min="1" max="1"/>
    <col width="22" customWidth="1" style="38" min="2" max="2"/>
    <col width="18" customWidth="1" style="38" min="3" max="3"/>
  </cols>
  <sheetData>
    <row r="1" ht="25.5" customHeight="1" s="39">
      <c r="A1" s="40" t="inlineStr">
        <is>
          <t>LIQUIDITÉS — PP</t>
        </is>
      </c>
    </row>
    <row r="2" ht="19.5" customHeight="1" s="39"/>
    <row r="3" ht="37.5" customHeight="1" s="39">
      <c r="A3" s="41" t="inlineStr">
        <is>
          <t>Intitulé du compte</t>
        </is>
      </c>
      <c r="B3" s="41" t="inlineStr">
        <is>
          <t>Banque</t>
        </is>
      </c>
      <c r="C3" s="41" t="inlineStr">
        <is>
          <t>Solde au [Date]</t>
        </is>
      </c>
    </row>
    <row r="4" ht="21.75" customHeight="1" s="39">
      <c r="A4" s="42" t="n"/>
      <c r="B4" s="42" t="n"/>
      <c r="C4" s="43" t="n"/>
    </row>
    <row r="5" ht="21.75" customHeight="1" s="39">
      <c r="A5" s="42" t="n"/>
      <c r="B5" s="42" t="n"/>
      <c r="C5" s="43" t="n"/>
    </row>
    <row r="6" ht="21.75" customHeight="1" s="39">
      <c r="A6" s="42" t="n"/>
      <c r="B6" s="42" t="n"/>
      <c r="C6" s="43" t="n"/>
    </row>
    <row r="7" ht="21.75" customHeight="1" s="39">
      <c r="A7" s="42" t="n"/>
      <c r="B7" s="42" t="n"/>
      <c r="C7" s="43" t="n"/>
    </row>
    <row r="8" ht="21.75" customHeight="1" s="39">
      <c r="A8" s="42" t="n"/>
      <c r="B8" s="42" t="n"/>
      <c r="C8" s="43" t="n"/>
    </row>
    <row r="9" ht="21.75" customHeight="1" s="39">
      <c r="A9" s="42" t="n"/>
      <c r="B9" s="42" t="n"/>
      <c r="C9" s="43" t="n"/>
    </row>
    <row r="10" ht="21.75" customHeight="1" s="39">
      <c r="A10" s="42" t="n"/>
      <c r="B10" s="42" t="n"/>
      <c r="C10" s="43" t="n"/>
    </row>
    <row r="11" ht="21.75" customHeight="1" s="39">
      <c r="A11" s="42" t="n"/>
      <c r="B11" s="42" t="n"/>
      <c r="C11" s="43" t="n"/>
    </row>
    <row r="12" ht="21.75" customHeight="1" s="39">
      <c r="A12" s="42" t="n"/>
      <c r="B12" s="42" t="n"/>
      <c r="C12" s="43" t="n"/>
    </row>
    <row r="13" ht="21.75" customHeight="1" s="39">
      <c r="A13" s="42" t="n"/>
      <c r="B13" s="42" t="n"/>
      <c r="C13" s="43" t="n"/>
    </row>
    <row r="14" ht="25.5" customHeight="1" s="39">
      <c r="A14" s="44" t="inlineStr">
        <is>
          <t>TOTAL LIQUIDITÉS</t>
        </is>
      </c>
      <c r="B14" s="45" t="n"/>
      <c r="C14" s="46">
        <f>SUM(C4:C13)</f>
        <v/>
      </c>
    </row>
    <row r="16" ht="15" customHeight="1" s="39">
      <c r="A16" s="47" t="inlineStr">
        <is>
          <t>LÉGENDE</t>
        </is>
      </c>
    </row>
    <row r="17" ht="15" customHeight="1" s="39">
      <c r="A17" s="48" t="inlineStr">
        <is>
          <t>• Texte bleu : Donnée à saisir manuellement</t>
        </is>
      </c>
    </row>
    <row r="18" ht="15" customHeight="1" s="39">
      <c r="A18" s="48" t="inlineStr">
        <is>
          <t>• Texte noir : Formule calculée automatiquement</t>
        </is>
      </c>
    </row>
    <row r="19" ht="15" customHeight="1" s="39">
      <c r="A19" s="48" t="inlineStr">
        <is>
          <t>• Fond jaune : Cellule obligatoire à renseigner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9"/>
  <sheetViews>
    <sheetView showFormulas="0" showGridLines="1" showRowColHeaders="1" showZeros="1" rightToLeft="0" tabSelected="0" showOutlineSymbols="1" defaultGridColor="1" view="normal" topLeftCell="A2" colorId="64" zoomScale="150" zoomScaleNormal="150" zoomScalePageLayoutView="100" workbookViewId="0">
      <pane xSplit="1" ySplit="3" topLeftCell="B4" activePane="bottomRight" state="frozen"/>
      <selection pane="topLeft" activeCell="A2" activeCellId="0" sqref="A2"/>
      <selection pane="topRight" activeCell="B2" activeCellId="0" sqref="B2"/>
      <selection pane="bottomLeft" activeCell="A4" activeCellId="0" sqref="A4"/>
      <selection pane="bottomRight" activeCell="C5" activeCellId="0" sqref="C5"/>
    </sheetView>
  </sheetViews>
  <sheetFormatPr baseColWidth="8" defaultColWidth="8.66796875" defaultRowHeight="15" zeroHeight="0" outlineLevelRow="0"/>
  <cols>
    <col width="26" customWidth="1" style="38" min="1" max="1"/>
    <col width="22" customWidth="1" style="38" min="2" max="2"/>
    <col width="18" customWidth="1" style="38" min="3" max="3"/>
  </cols>
  <sheetData>
    <row r="1" ht="25.5" customHeight="1" s="39">
      <c r="A1" s="40" t="inlineStr">
        <is>
          <t>LIQUIDITÉS — Holding 1</t>
        </is>
      </c>
    </row>
    <row r="2" ht="19.5" customHeight="1" s="39"/>
    <row r="3" ht="37.5" customHeight="1" s="39">
      <c r="A3" s="41" t="inlineStr">
        <is>
          <t>Intitulé du compte</t>
        </is>
      </c>
      <c r="B3" s="41" t="inlineStr">
        <is>
          <t>Banque</t>
        </is>
      </c>
      <c r="C3" s="41" t="inlineStr">
        <is>
          <t>Solde au [Date]</t>
        </is>
      </c>
    </row>
    <row r="4" ht="21.75" customHeight="1" s="39">
      <c r="A4" s="42" t="n"/>
      <c r="B4" s="42" t="n"/>
      <c r="C4" s="43" t="n"/>
    </row>
    <row r="5" ht="21.75" customHeight="1" s="39">
      <c r="A5" s="42" t="n"/>
      <c r="B5" s="42" t="n"/>
      <c r="C5" s="43" t="n"/>
    </row>
    <row r="6" ht="21.75" customHeight="1" s="39">
      <c r="A6" s="42" t="n"/>
      <c r="B6" s="42" t="n"/>
      <c r="C6" s="43" t="n"/>
    </row>
    <row r="7" ht="21.75" customHeight="1" s="39">
      <c r="A7" s="42" t="n"/>
      <c r="B7" s="42" t="n"/>
      <c r="C7" s="43" t="n"/>
    </row>
    <row r="8" ht="21.75" customHeight="1" s="39">
      <c r="A8" s="42" t="n"/>
      <c r="B8" s="42" t="n"/>
      <c r="C8" s="43" t="n"/>
    </row>
    <row r="9" ht="21.75" customHeight="1" s="39">
      <c r="A9" s="42" t="n"/>
      <c r="B9" s="42" t="n"/>
      <c r="C9" s="43" t="n"/>
    </row>
    <row r="10" ht="21.75" customHeight="1" s="39">
      <c r="A10" s="42" t="n"/>
      <c r="B10" s="42" t="n"/>
      <c r="C10" s="43" t="n"/>
    </row>
    <row r="11" ht="21.75" customHeight="1" s="39">
      <c r="A11" s="42" t="n"/>
      <c r="B11" s="42" t="n"/>
      <c r="C11" s="43" t="n"/>
    </row>
    <row r="12" ht="21.75" customHeight="1" s="39">
      <c r="A12" s="42" t="n"/>
      <c r="B12" s="42" t="n"/>
      <c r="C12" s="43" t="n"/>
    </row>
    <row r="13" ht="21.75" customHeight="1" s="39">
      <c r="A13" s="42" t="n"/>
      <c r="B13" s="42" t="n"/>
      <c r="C13" s="43" t="n"/>
    </row>
    <row r="14" ht="25.5" customHeight="1" s="39">
      <c r="A14" s="44" t="inlineStr">
        <is>
          <t>TOTAL LIQUIDITÉS</t>
        </is>
      </c>
      <c r="B14" s="45" t="n"/>
      <c r="C14" s="46">
        <f>SUM(C4:C13)</f>
        <v/>
      </c>
    </row>
    <row r="16" ht="15" customHeight="1" s="39">
      <c r="A16" s="47" t="inlineStr">
        <is>
          <t>LÉGENDE</t>
        </is>
      </c>
    </row>
    <row r="17" ht="15" customHeight="1" s="39">
      <c r="A17" s="48" t="inlineStr">
        <is>
          <t>• Texte bleu : Donnée à saisir manuellement</t>
        </is>
      </c>
    </row>
    <row r="18" ht="15" customHeight="1" s="39">
      <c r="A18" s="48" t="inlineStr">
        <is>
          <t>• Texte noir : Formule calculée automatiquement</t>
        </is>
      </c>
    </row>
    <row r="19" ht="15" customHeight="1" s="39">
      <c r="A19" s="48" t="inlineStr">
        <is>
          <t>• Fond jaune : Cellule obligatoire à renseigner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9"/>
  <sheetViews>
    <sheetView showFormulas="0" showGridLines="1" showRowColHeaders="1" showZeros="1" rightToLeft="0" tabSelected="0" showOutlineSymbols="1" defaultGridColor="1" view="normal" topLeftCell="A1" colorId="64" zoomScale="184" zoomScaleNormal="184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4" activeCellId="0" sqref="A4"/>
    </sheetView>
  </sheetViews>
  <sheetFormatPr baseColWidth="8" defaultColWidth="8.66796875" defaultRowHeight="15" zeroHeight="0" outlineLevelRow="0"/>
  <cols>
    <col width="26" customWidth="1" style="38" min="1" max="1"/>
    <col width="22" customWidth="1" style="38" min="2" max="2"/>
    <col width="18" customWidth="1" style="38" min="3" max="3"/>
  </cols>
  <sheetData>
    <row r="1" ht="25.5" customHeight="1" s="39">
      <c r="A1" s="40" t="inlineStr">
        <is>
          <t>LIQUIDITÉS — Holding 2</t>
        </is>
      </c>
    </row>
    <row r="2" ht="19.5" customHeight="1" s="39"/>
    <row r="3" ht="37.5" customHeight="1" s="39">
      <c r="A3" s="41" t="inlineStr">
        <is>
          <t>Intitulé du compte</t>
        </is>
      </c>
      <c r="B3" s="41" t="inlineStr">
        <is>
          <t>Banque</t>
        </is>
      </c>
      <c r="C3" s="41" t="inlineStr">
        <is>
          <t>Solde au [Date]</t>
        </is>
      </c>
    </row>
    <row r="4" ht="21.75" customHeight="1" s="39">
      <c r="A4" s="42" t="n"/>
      <c r="B4" s="42" t="n"/>
      <c r="C4" s="43" t="n"/>
    </row>
    <row r="5" ht="21.75" customHeight="1" s="39">
      <c r="A5" s="42" t="n"/>
      <c r="B5" s="42" t="n"/>
      <c r="C5" s="43" t="n"/>
    </row>
    <row r="6" ht="21.75" customHeight="1" s="39">
      <c r="A6" s="42" t="n"/>
      <c r="B6" s="42" t="n"/>
      <c r="C6" s="43" t="n"/>
    </row>
    <row r="7" ht="21.75" customHeight="1" s="39">
      <c r="A7" s="42" t="n"/>
      <c r="B7" s="42" t="n"/>
      <c r="C7" s="43" t="n"/>
    </row>
    <row r="8" ht="21.75" customHeight="1" s="39">
      <c r="A8" s="42" t="n"/>
      <c r="B8" s="42" t="n"/>
      <c r="C8" s="43" t="n"/>
    </row>
    <row r="9" ht="21.75" customHeight="1" s="39">
      <c r="A9" s="42" t="n"/>
      <c r="B9" s="42" t="n"/>
      <c r="C9" s="43" t="n"/>
    </row>
    <row r="10" ht="21.75" customHeight="1" s="39">
      <c r="A10" s="42" t="n"/>
      <c r="B10" s="42" t="n"/>
      <c r="C10" s="43" t="n"/>
    </row>
    <row r="11" ht="21.75" customHeight="1" s="39">
      <c r="A11" s="42" t="n"/>
      <c r="B11" s="42" t="n"/>
      <c r="C11" s="43" t="n"/>
    </row>
    <row r="12" ht="21.75" customHeight="1" s="39">
      <c r="A12" s="42" t="n"/>
      <c r="B12" s="42" t="n"/>
      <c r="C12" s="43" t="n"/>
    </row>
    <row r="13" ht="21.75" customHeight="1" s="39">
      <c r="A13" s="42" t="n"/>
      <c r="B13" s="42" t="n"/>
      <c r="C13" s="43" t="n"/>
    </row>
    <row r="14" ht="25.5" customHeight="1" s="39">
      <c r="A14" s="44" t="inlineStr">
        <is>
          <t>TOTAL LIQUIDITÉS</t>
        </is>
      </c>
      <c r="B14" s="45" t="n"/>
      <c r="C14" s="46">
        <f>SUM(C4:C13)</f>
        <v/>
      </c>
    </row>
    <row r="16" ht="15" customHeight="1" s="39">
      <c r="A16" s="47" t="inlineStr">
        <is>
          <t>LÉGENDE</t>
        </is>
      </c>
    </row>
    <row r="17" ht="15" customHeight="1" s="39">
      <c r="A17" s="48" t="inlineStr">
        <is>
          <t>• Texte bleu : Donnée à saisir manuellement</t>
        </is>
      </c>
    </row>
    <row r="18" ht="15" customHeight="1" s="39">
      <c r="A18" s="48" t="inlineStr">
        <is>
          <t>• Texte noir : Formule calculée automatiquement</t>
        </is>
      </c>
    </row>
    <row r="19" ht="15" customHeight="1" s="39">
      <c r="A19" s="48" t="inlineStr">
        <is>
          <t>• Fond jaune : Cellule obligatoire à renseigner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1" showRowColHeaders="1" showZeros="1" rightToLeft="0" tabSelected="0" showOutlineSymbols="1" defaultGridColor="1" view="normal" topLeftCell="A2" colorId="64" zoomScale="125" zoomScaleNormal="125" zoomScalePageLayoutView="100" workbookViewId="0">
      <pane xSplit="1" ySplit="3" topLeftCell="B4" activePane="bottomRight" state="frozen"/>
      <selection pane="topLeft" activeCell="A2" activeCellId="0" sqref="A2"/>
      <selection pane="topRight" activeCell="B2" activeCellId="0" sqref="B2"/>
      <selection pane="bottomLeft" activeCell="A4" activeCellId="0" sqref="A4"/>
      <selection pane="bottomRight" activeCell="E16" activeCellId="0" sqref="E16"/>
    </sheetView>
  </sheetViews>
  <sheetFormatPr baseColWidth="8" defaultColWidth="8.66796875" defaultRowHeight="15" zeroHeight="0" outlineLevelRow="0"/>
  <cols>
    <col width="28" customWidth="1" style="38" min="1" max="1"/>
    <col width="20" customWidth="1" style="38" min="2" max="2"/>
    <col width="24" customWidth="1" style="38" min="3" max="3"/>
    <col width="14" customWidth="1" style="38" min="4" max="6"/>
    <col width="16" customWidth="1" style="38" min="7" max="8"/>
    <col width="24" customWidth="1" style="38" min="9" max="9"/>
  </cols>
  <sheetData>
    <row r="1" ht="25.5" customHeight="1" s="39">
      <c r="A1" s="40" t="inlineStr">
        <is>
          <t>IMMOBILIER — PP</t>
        </is>
      </c>
    </row>
    <row r="3" ht="37.5" customHeight="1" s="39">
      <c r="A3" s="41" t="inlineStr">
        <is>
          <t>Nom du bien</t>
        </is>
      </c>
      <c r="B3" s="41" t="inlineStr">
        <is>
          <t>Fonction
(RP/RS/Usage/Rendement)</t>
        </is>
      </c>
      <c r="C3" s="41" t="inlineStr">
        <is>
          <t>Propriété /
Démembrement</t>
        </is>
      </c>
      <c r="D3" s="41" t="inlineStr">
        <is>
          <t>Hypothèque
(Oui / —)</t>
        </is>
      </c>
      <c r="E3" s="41" t="inlineStr">
        <is>
          <t>Loyer annuel (€)</t>
        </is>
      </c>
      <c r="F3" s="41" t="inlineStr">
        <is>
          <t>Date acquisition</t>
        </is>
      </c>
      <c r="G3" s="41" t="inlineStr">
        <is>
          <t>Valeur acquisition (€)</t>
        </is>
      </c>
      <c r="H3" s="41" t="inlineStr">
        <is>
          <t>Valeur au [Date] (€)</t>
        </is>
      </c>
    </row>
    <row r="4" ht="21.75" customHeight="1" s="39">
      <c r="A4" s="42" t="n"/>
      <c r="B4" s="42" t="n"/>
      <c r="C4" s="42" t="n"/>
      <c r="D4" s="49" t="n"/>
      <c r="E4" s="43" t="n"/>
      <c r="F4" s="50" t="n"/>
      <c r="G4" s="43" t="n"/>
      <c r="H4" s="43" t="n"/>
    </row>
    <row r="5" ht="21.75" customHeight="1" s="39">
      <c r="A5" s="42" t="n"/>
      <c r="B5" s="42" t="n"/>
      <c r="C5" s="42" t="n"/>
      <c r="D5" s="49" t="n"/>
      <c r="E5" s="43" t="n"/>
      <c r="F5" s="50" t="n"/>
      <c r="G5" s="43" t="n"/>
      <c r="H5" s="43" t="n"/>
    </row>
    <row r="6" ht="21.75" customHeight="1" s="39">
      <c r="A6" s="42" t="n"/>
      <c r="B6" s="42" t="n"/>
      <c r="C6" s="42" t="n"/>
      <c r="D6" s="49" t="n"/>
      <c r="E6" s="43" t="n"/>
      <c r="F6" s="50" t="n"/>
      <c r="G6" s="43" t="n"/>
      <c r="H6" s="43" t="n"/>
    </row>
    <row r="7" ht="21.75" customHeight="1" s="39">
      <c r="A7" s="42" t="n"/>
      <c r="B7" s="42" t="n"/>
      <c r="C7" s="42" t="n"/>
      <c r="D7" s="49" t="n"/>
      <c r="E7" s="43" t="n"/>
      <c r="F7" s="50" t="n"/>
      <c r="G7" s="43" t="n"/>
      <c r="H7" s="43" t="n"/>
    </row>
    <row r="8" ht="21.75" customHeight="1" s="39">
      <c r="A8" s="42" t="n"/>
      <c r="B8" s="42" t="n"/>
      <c r="C8" s="42" t="n"/>
      <c r="D8" s="49" t="n"/>
      <c r="E8" s="43" t="n"/>
      <c r="F8" s="50" t="n"/>
      <c r="G8" s="43" t="n"/>
      <c r="H8" s="43" t="n"/>
    </row>
    <row r="9" ht="21.75" customHeight="1" s="39">
      <c r="A9" s="42" t="n"/>
      <c r="B9" s="42" t="n"/>
      <c r="C9" s="42" t="n"/>
      <c r="D9" s="49" t="n"/>
      <c r="E9" s="43" t="n"/>
      <c r="F9" s="50" t="n"/>
      <c r="G9" s="43" t="n"/>
      <c r="H9" s="43" t="n"/>
    </row>
    <row r="10" ht="21.75" customHeight="1" s="39">
      <c r="A10" s="42" t="n"/>
      <c r="B10" s="42" t="n"/>
      <c r="C10" s="42" t="n"/>
      <c r="D10" s="49" t="n"/>
      <c r="E10" s="43" t="n"/>
      <c r="F10" s="50" t="n"/>
      <c r="G10" s="43" t="n"/>
      <c r="H10" s="43" t="n"/>
    </row>
    <row r="11" ht="21.75" customHeight="1" s="39">
      <c r="A11" s="42" t="n"/>
      <c r="B11" s="42" t="n"/>
      <c r="C11" s="42" t="n"/>
      <c r="D11" s="49" t="n"/>
      <c r="E11" s="43" t="n"/>
      <c r="F11" s="50" t="n"/>
      <c r="G11" s="43" t="n"/>
      <c r="H11" s="43" t="n"/>
    </row>
    <row r="12" ht="21.75" customHeight="1" s="39">
      <c r="A12" s="42" t="n"/>
      <c r="B12" s="42" t="n"/>
      <c r="C12" s="42" t="n"/>
      <c r="D12" s="49" t="n"/>
      <c r="E12" s="43" t="n"/>
      <c r="F12" s="50" t="n"/>
      <c r="G12" s="43" t="n"/>
      <c r="H12" s="43" t="n"/>
    </row>
    <row r="13" ht="21.75" customHeight="1" s="39">
      <c r="A13" s="42" t="n"/>
      <c r="B13" s="42" t="n"/>
      <c r="C13" s="42" t="n"/>
      <c r="D13" s="49" t="n"/>
      <c r="E13" s="43" t="n"/>
      <c r="F13" s="50" t="n"/>
      <c r="G13" s="43" t="n"/>
      <c r="H13" s="43" t="n"/>
    </row>
    <row r="14" ht="15" customHeight="1" s="39">
      <c r="A14" s="47" t="inlineStr">
        <is>
          <t>ℹ Classe Rhétorès : saisir 'SCPI' ou 'Immobilier physique'. Seules les SCPI entrent dans le Bloc 03. L'immobilier physique est exclu des donuts d'allocation.</t>
        </is>
      </c>
    </row>
    <row r="15" ht="15" customHeight="1" s="39">
      <c r="A15" s="48" t="inlineStr">
        <is>
          <t>• Texte bleu : Donnée à saisir manuellement</t>
        </is>
      </c>
    </row>
    <row r="16" ht="15" customHeight="1" s="39">
      <c r="A16" s="48" t="inlineStr">
        <is>
          <t>• Texte noir : Formule calculée automatiquement</t>
        </is>
      </c>
    </row>
    <row r="17" ht="15" customHeight="1" s="39">
      <c r="A17" s="48" t="inlineStr">
        <is>
          <t>• Fond jaune : Cellule obligatoire à renseigner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6796875" defaultRowHeight="15" zeroHeight="0" outlineLevelRow="0"/>
  <cols>
    <col width="28" customWidth="1" style="38" min="1" max="1"/>
    <col width="20" customWidth="1" style="38" min="2" max="2"/>
    <col width="24" customWidth="1" style="38" min="3" max="3"/>
    <col width="14" customWidth="1" style="38" min="4" max="6"/>
    <col width="16" customWidth="1" style="38" min="7" max="8"/>
    <col width="24" customWidth="1" style="38" min="9" max="9"/>
  </cols>
  <sheetData>
    <row r="1" ht="25.5" customHeight="1" s="39">
      <c r="A1" s="40" t="inlineStr">
        <is>
          <t>IMMOBILIER — Holding 1</t>
        </is>
      </c>
    </row>
    <row r="3" ht="37.5" customHeight="1" s="39">
      <c r="A3" s="41" t="inlineStr">
        <is>
          <t>Nom du bien</t>
        </is>
      </c>
      <c r="B3" s="41" t="inlineStr">
        <is>
          <t>Fonction
(RP/RS/Usage/Rendement)</t>
        </is>
      </c>
      <c r="C3" s="41" t="inlineStr">
        <is>
          <t>Propriété /
Démembrement</t>
        </is>
      </c>
      <c r="D3" s="41" t="inlineStr">
        <is>
          <t>Hypothèque
(Oui / —)</t>
        </is>
      </c>
      <c r="E3" s="41" t="inlineStr">
        <is>
          <t>Loyer annuel (€)</t>
        </is>
      </c>
      <c r="F3" s="41" t="inlineStr">
        <is>
          <t>Date acquisition</t>
        </is>
      </c>
      <c r="G3" s="41" t="inlineStr">
        <is>
          <t>Valeur acquisition (€)</t>
        </is>
      </c>
      <c r="H3" s="41" t="inlineStr">
        <is>
          <t>Valeur au [Date] (€)</t>
        </is>
      </c>
    </row>
    <row r="4" ht="21.75" customHeight="1" s="39">
      <c r="A4" s="42" t="n"/>
      <c r="B4" s="42" t="n"/>
      <c r="C4" s="42" t="n"/>
      <c r="D4" s="49" t="n"/>
      <c r="E4" s="43" t="n"/>
      <c r="F4" s="50" t="n"/>
      <c r="G4" s="43" t="n"/>
      <c r="H4" s="43" t="n"/>
    </row>
    <row r="5" ht="21.75" customHeight="1" s="39">
      <c r="A5" s="42" t="n"/>
      <c r="B5" s="42" t="n"/>
      <c r="C5" s="42" t="n"/>
      <c r="D5" s="49" t="n"/>
      <c r="E5" s="43" t="n"/>
      <c r="F5" s="50" t="n"/>
      <c r="G5" s="43" t="n"/>
      <c r="H5" s="43" t="n"/>
    </row>
    <row r="6" ht="21.75" customHeight="1" s="39">
      <c r="A6" s="42" t="n"/>
      <c r="B6" s="42" t="n"/>
      <c r="C6" s="42" t="n"/>
      <c r="D6" s="49" t="n"/>
      <c r="E6" s="43" t="n"/>
      <c r="F6" s="50" t="n"/>
      <c r="G6" s="43" t="n"/>
      <c r="H6" s="43" t="n"/>
    </row>
    <row r="7" ht="21.75" customHeight="1" s="39">
      <c r="A7" s="42" t="n"/>
      <c r="B7" s="42" t="n"/>
      <c r="C7" s="42" t="n"/>
      <c r="D7" s="49" t="n"/>
      <c r="E7" s="43" t="n"/>
      <c r="F7" s="50" t="n"/>
      <c r="G7" s="43" t="n"/>
      <c r="H7" s="43" t="n"/>
    </row>
    <row r="8" ht="21.75" customHeight="1" s="39">
      <c r="A8" s="42" t="n"/>
      <c r="B8" s="42" t="n"/>
      <c r="C8" s="42" t="n"/>
      <c r="D8" s="49" t="n"/>
      <c r="E8" s="43" t="n"/>
      <c r="F8" s="50" t="n"/>
      <c r="G8" s="43" t="n"/>
      <c r="H8" s="43" t="n"/>
    </row>
    <row r="9" ht="21.75" customHeight="1" s="39">
      <c r="A9" s="42" t="n"/>
      <c r="B9" s="42" t="n"/>
      <c r="C9" s="42" t="n"/>
      <c r="D9" s="49" t="n"/>
      <c r="E9" s="43" t="n"/>
      <c r="F9" s="50" t="n"/>
      <c r="G9" s="43" t="n"/>
      <c r="H9" s="43" t="n"/>
    </row>
    <row r="10" ht="21.75" customHeight="1" s="39">
      <c r="A10" s="42" t="n"/>
      <c r="B10" s="42" t="n"/>
      <c r="C10" s="42" t="n"/>
      <c r="D10" s="49" t="n"/>
      <c r="E10" s="43" t="n"/>
      <c r="F10" s="50" t="n"/>
      <c r="G10" s="43" t="n"/>
      <c r="H10" s="43" t="n"/>
    </row>
    <row r="11" ht="21.75" customHeight="1" s="39">
      <c r="A11" s="42" t="n"/>
      <c r="B11" s="42" t="n"/>
      <c r="C11" s="42" t="n"/>
      <c r="D11" s="49" t="n"/>
      <c r="E11" s="43" t="n"/>
      <c r="F11" s="50" t="n"/>
      <c r="G11" s="43" t="n"/>
      <c r="H11" s="43" t="n"/>
    </row>
    <row r="12" ht="21.75" customHeight="1" s="39">
      <c r="A12" s="42" t="n"/>
      <c r="B12" s="42" t="n"/>
      <c r="C12" s="42" t="n"/>
      <c r="D12" s="49" t="n"/>
      <c r="E12" s="43" t="n"/>
      <c r="F12" s="50" t="n"/>
      <c r="G12" s="43" t="n"/>
      <c r="H12" s="43" t="n"/>
    </row>
    <row r="13" ht="21.75" customHeight="1" s="39">
      <c r="A13" s="42" t="n"/>
      <c r="B13" s="42" t="n"/>
      <c r="C13" s="42" t="n"/>
      <c r="D13" s="49" t="n"/>
      <c r="E13" s="43" t="n"/>
      <c r="F13" s="50" t="n"/>
      <c r="G13" s="43" t="n"/>
      <c r="H13" s="43" t="n"/>
    </row>
    <row r="14" ht="15" customHeight="1" s="39">
      <c r="A14" s="47" t="inlineStr">
        <is>
          <t>ℹ Classe Rhétorès : saisir 'SCPI' ou 'Immobilier physique'. Seules les SCPI entrent dans le Bloc 03. L'immobilier physique est exclu des donuts d'allocation.</t>
        </is>
      </c>
    </row>
    <row r="15" ht="15" customHeight="1" s="39">
      <c r="A15" s="48" t="inlineStr">
        <is>
          <t>• Texte bleu : Donnée à saisir manuellement</t>
        </is>
      </c>
    </row>
    <row r="16" ht="15" customHeight="1" s="39">
      <c r="A16" s="48" t="inlineStr">
        <is>
          <t>• Texte noir : Formule calculée automatiquement</t>
        </is>
      </c>
    </row>
    <row r="17" ht="15" customHeight="1" s="39">
      <c r="A17" s="48" t="inlineStr">
        <is>
          <t>• Fond jaune : Cellule obligatoire à renseigner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H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I5" activeCellId="0" sqref="I5"/>
    </sheetView>
  </sheetViews>
  <sheetFormatPr baseColWidth="8" defaultColWidth="8.66796875" defaultRowHeight="15" zeroHeight="0" outlineLevelRow="0"/>
  <cols>
    <col width="28" customWidth="1" style="38" min="1" max="1"/>
    <col width="20" customWidth="1" style="38" min="2" max="2"/>
    <col width="24" customWidth="1" style="38" min="3" max="3"/>
    <col width="14" customWidth="1" style="38" min="4" max="6"/>
    <col width="16" customWidth="1" style="38" min="7" max="8"/>
    <col width="24" customWidth="1" style="38" min="9" max="9"/>
  </cols>
  <sheetData>
    <row r="1" ht="25.5" customHeight="1" s="39">
      <c r="A1" s="40" t="inlineStr">
        <is>
          <t>IMMOBILIER — Holding 2</t>
        </is>
      </c>
    </row>
    <row r="3" ht="37.5" customHeight="1" s="39">
      <c r="A3" s="41" t="inlineStr">
        <is>
          <t>Nom du bien</t>
        </is>
      </c>
      <c r="B3" s="41" t="inlineStr">
        <is>
          <t>Fonction
(RP/RS/Usage/Rendement)</t>
        </is>
      </c>
      <c r="C3" s="41" t="inlineStr">
        <is>
          <t>Propriété /
Démembrement</t>
        </is>
      </c>
      <c r="D3" s="41" t="inlineStr">
        <is>
          <t>Hypothèque
(Oui / —)</t>
        </is>
      </c>
      <c r="E3" s="41" t="inlineStr">
        <is>
          <t>Loyer annuel (€)</t>
        </is>
      </c>
      <c r="F3" s="41" t="inlineStr">
        <is>
          <t>Date acquisition</t>
        </is>
      </c>
      <c r="G3" s="41" t="inlineStr">
        <is>
          <t>Valeur acquisition (€)</t>
        </is>
      </c>
      <c r="H3" s="41" t="inlineStr">
        <is>
          <t>Valeur au [Date] (€)</t>
        </is>
      </c>
    </row>
    <row r="4" ht="21.75" customHeight="1" s="39">
      <c r="A4" s="42" t="n"/>
      <c r="B4" s="42" t="n"/>
      <c r="C4" s="42" t="n"/>
      <c r="D4" s="49" t="n"/>
      <c r="E4" s="43" t="n"/>
      <c r="F4" s="50" t="n"/>
      <c r="G4" s="43" t="n"/>
      <c r="H4" s="43" t="n"/>
    </row>
    <row r="5" ht="21.75" customHeight="1" s="39">
      <c r="A5" s="42" t="n"/>
      <c r="B5" s="42" t="n"/>
      <c r="C5" s="42" t="n"/>
      <c r="D5" s="49" t="n"/>
      <c r="E5" s="43" t="n"/>
      <c r="F5" s="50" t="n"/>
      <c r="G5" s="43" t="n"/>
      <c r="H5" s="43" t="n"/>
    </row>
    <row r="6" ht="21.75" customHeight="1" s="39">
      <c r="A6" s="42" t="n"/>
      <c r="B6" s="42" t="n"/>
      <c r="C6" s="42" t="n"/>
      <c r="D6" s="49" t="n"/>
      <c r="E6" s="43" t="n"/>
      <c r="F6" s="50" t="n"/>
      <c r="G6" s="43" t="n"/>
      <c r="H6" s="43" t="n"/>
    </row>
    <row r="7" ht="21.75" customHeight="1" s="39">
      <c r="A7" s="42" t="n"/>
      <c r="B7" s="42" t="n"/>
      <c r="C7" s="42" t="n"/>
      <c r="D7" s="49" t="n"/>
      <c r="E7" s="43" t="n"/>
      <c r="F7" s="50" t="n"/>
      <c r="G7" s="43" t="n"/>
      <c r="H7" s="43" t="n"/>
    </row>
    <row r="8" ht="21.75" customHeight="1" s="39">
      <c r="A8" s="42" t="n"/>
      <c r="B8" s="42" t="n"/>
      <c r="C8" s="42" t="n"/>
      <c r="D8" s="49" t="n"/>
      <c r="E8" s="43" t="n"/>
      <c r="F8" s="50" t="n"/>
      <c r="G8" s="43" t="n"/>
      <c r="H8" s="43" t="n"/>
    </row>
    <row r="9" ht="21.75" customHeight="1" s="39">
      <c r="A9" s="42" t="n"/>
      <c r="B9" s="42" t="n"/>
      <c r="C9" s="42" t="n"/>
      <c r="D9" s="49" t="n"/>
      <c r="E9" s="43" t="n"/>
      <c r="F9" s="50" t="n"/>
      <c r="G9" s="43" t="n"/>
      <c r="H9" s="43" t="n"/>
    </row>
    <row r="10" ht="21.75" customHeight="1" s="39">
      <c r="A10" s="42" t="n"/>
      <c r="B10" s="42" t="n"/>
      <c r="C10" s="42" t="n"/>
      <c r="D10" s="49" t="n"/>
      <c r="E10" s="43" t="n"/>
      <c r="F10" s="50" t="n"/>
      <c r="G10" s="43" t="n"/>
      <c r="H10" s="43" t="n"/>
    </row>
    <row r="11" ht="21.75" customHeight="1" s="39">
      <c r="A11" s="42" t="n"/>
      <c r="B11" s="42" t="n"/>
      <c r="C11" s="42" t="n"/>
      <c r="D11" s="49" t="n"/>
      <c r="E11" s="43" t="n"/>
      <c r="F11" s="50" t="n"/>
      <c r="G11" s="43" t="n"/>
      <c r="H11" s="43" t="n"/>
    </row>
    <row r="12" ht="21.75" customHeight="1" s="39">
      <c r="A12" s="42" t="n"/>
      <c r="B12" s="42" t="n"/>
      <c r="C12" s="42" t="n"/>
      <c r="D12" s="49" t="n"/>
      <c r="E12" s="43" t="n"/>
      <c r="F12" s="50" t="n"/>
      <c r="G12" s="43" t="n"/>
      <c r="H12" s="43" t="n"/>
    </row>
    <row r="13" ht="21.75" customHeight="1" s="39">
      <c r="A13" s="42" t="n"/>
      <c r="B13" s="42" t="n"/>
      <c r="C13" s="42" t="n"/>
      <c r="D13" s="49" t="n"/>
      <c r="E13" s="43" t="n"/>
      <c r="F13" s="50" t="n"/>
      <c r="G13" s="43" t="n"/>
      <c r="H13" s="43" t="n"/>
    </row>
    <row r="14" ht="15" customHeight="1" s="39">
      <c r="A14" s="47" t="inlineStr">
        <is>
          <t>ℹ Classe Rhétorès : saisir 'SCPI' ou 'Immobilier physique'. Seules les SCPI entrent dans le Bloc 03. L'immobilier physique est exclu des donuts d'allocation.</t>
        </is>
      </c>
    </row>
    <row r="15" ht="15" customHeight="1" s="39">
      <c r="A15" s="48" t="inlineStr">
        <is>
          <t>• Texte bleu : Donnée à saisir manuellement</t>
        </is>
      </c>
    </row>
    <row r="16" ht="15" customHeight="1" s="39">
      <c r="A16" s="48" t="inlineStr">
        <is>
          <t>• Texte noir : Formule calculée automatiquement</t>
        </is>
      </c>
    </row>
    <row r="17" ht="15" customHeight="1" s="39">
      <c r="A17" s="48" t="inlineStr">
        <is>
          <t>• Fond jaune : Cellule obligatoire à renseigner</t>
        </is>
      </c>
    </row>
  </sheetData>
  <mergeCells count="1"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P26"/>
  <sheetViews>
    <sheetView showFormulas="0" showGridLines="1" showRowColHeaders="1" showZeros="1" rightToLeft="0" tabSelected="0" showOutlineSymbols="1" defaultGridColor="1" view="normal" topLeftCell="A1" colorId="64" zoomScale="139" zoomScaleNormal="139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J16" activeCellId="0" sqref="J16"/>
    </sheetView>
  </sheetViews>
  <sheetFormatPr baseColWidth="8" defaultColWidth="8.66796875" defaultRowHeight="15" zeroHeight="0" outlineLevelRow="0"/>
  <cols>
    <col width="18" customWidth="1" style="38" min="1" max="1"/>
    <col width="22" customWidth="1" style="38" min="2" max="2"/>
    <col width="18" customWidth="1" style="38" min="3" max="3"/>
    <col width="16" customWidth="1" style="38" min="4" max="4"/>
    <col width="22" customWidth="1" style="38" min="5" max="5"/>
    <col width="18" customWidth="1" style="38" min="6" max="7"/>
    <col width="14" customWidth="1" style="38" min="8" max="9"/>
    <col width="13" customWidth="1" style="38" min="10" max="11"/>
    <col width="17" customWidth="1" style="38" min="12" max="13"/>
  </cols>
  <sheetData>
    <row r="1" ht="25.5" customHeight="1" s="39">
      <c r="A1" s="40" t="inlineStr">
        <is>
          <t>FINANCIER COTÉ — PP</t>
        </is>
      </c>
    </row>
    <row r="2" ht="27.75" customHeight="1" s="39">
      <c r="A2" s="51" t="inlineStr">
        <is>
          <t>ℹ Les valeurs 01/01 et [Date du reporting] proviennent des relevés dépositaires. Pour les contrats multi-poches, renseigner chaque poche sur une ligne séparée. Date d'investissement et Nominal investi : valeurs d'origine du contrat/poche, à renseigner manuellement.</t>
        </is>
      </c>
    </row>
    <row r="3" ht="37.5" customHeight="1" s="39">
      <c r="A3" s="41" t="inlineStr">
        <is>
          <t>Nature contrat
(AV/Capi/CTO)</t>
        </is>
      </c>
      <c r="B3" s="41" t="inlineStr">
        <is>
          <t>Assureur / Banque</t>
        </is>
      </c>
      <c r="C3" s="41" t="inlineStr">
        <is>
          <t>Intermédiaire</t>
        </is>
      </c>
      <c r="D3" s="41" t="inlineStr">
        <is>
          <t>Type poche
(FID/FAS/FE/Mono)</t>
        </is>
      </c>
      <c r="E3" s="41" t="inlineStr">
        <is>
          <t>Société de gestion</t>
        </is>
      </c>
      <c r="F3" s="41" t="inlineStr">
        <is>
          <t>Dépositaire</t>
        </is>
      </c>
      <c r="G3" s="41" t="inlineStr">
        <is>
          <t>Mode de gestion</t>
        </is>
      </c>
      <c r="H3" s="41" t="inlineStr">
        <is>
          <t>Profil</t>
        </is>
      </c>
      <c r="I3" s="41" t="inlineStr">
        <is>
          <t>Date d'investissement</t>
        </is>
      </c>
      <c r="J3" s="41" t="inlineStr">
        <is>
          <t>Nantissement
(Oui / —)</t>
        </is>
      </c>
      <c r="K3" s="41" t="inlineStr">
        <is>
          <t>Nominal investi (€)</t>
        </is>
      </c>
      <c r="L3" s="41" t="inlineStr">
        <is>
          <t>Valeur 01/01 (€)</t>
        </is>
      </c>
      <c r="M3" s="41" t="inlineStr">
        <is>
          <t>Valeur au [Date] (€)</t>
        </is>
      </c>
      <c r="N3" s="38" t="inlineStr">
        <is>
          <t>Classe Rhétorès (12 classes)</t>
        </is>
      </c>
      <c r="O3" s="38" t="inlineStr">
        <is>
          <t>Géographie (Actions)</t>
        </is>
      </c>
      <c r="P3" s="38" t="inlineStr">
        <is>
          <t>SRI (1-7)</t>
        </is>
      </c>
    </row>
    <row r="4" ht="21.75" customHeight="1" s="39">
      <c r="A4" s="42" t="n"/>
      <c r="B4" s="42" t="n"/>
      <c r="C4" s="42" t="n"/>
      <c r="D4" s="42" t="n"/>
      <c r="E4" s="42" t="n"/>
      <c r="F4" s="42" t="n"/>
      <c r="G4" s="42" t="n"/>
      <c r="H4" s="42" t="n"/>
      <c r="I4" s="52" t="n"/>
      <c r="J4" s="49" t="n"/>
      <c r="K4" s="43" t="n"/>
      <c r="L4" s="43" t="n"/>
      <c r="M4" s="43" t="n"/>
    </row>
    <row r="5" ht="21.75" customHeight="1" s="39">
      <c r="A5" s="42" t="n"/>
      <c r="B5" s="42" t="n"/>
      <c r="C5" s="42" t="n"/>
      <c r="D5" s="42" t="n"/>
      <c r="E5" s="42" t="n"/>
      <c r="F5" s="42" t="n"/>
      <c r="G5" s="42" t="n"/>
      <c r="H5" s="42" t="n"/>
      <c r="I5" s="52" t="n"/>
      <c r="J5" s="49" t="n"/>
      <c r="K5" s="43" t="n"/>
      <c r="L5" s="43" t="n"/>
      <c r="M5" s="43" t="n"/>
    </row>
    <row r="6" ht="21.75" customHeight="1" s="39">
      <c r="A6" s="42" t="n"/>
      <c r="B6" s="42" t="n"/>
      <c r="C6" s="42" t="n"/>
      <c r="D6" s="42" t="n"/>
      <c r="E6" s="42" t="n"/>
      <c r="F6" s="42" t="n"/>
      <c r="G6" s="42" t="n"/>
      <c r="H6" s="42" t="n"/>
      <c r="I6" s="52" t="n"/>
      <c r="J6" s="49" t="n"/>
      <c r="K6" s="43" t="n"/>
      <c r="L6" s="43" t="n"/>
      <c r="M6" s="43" t="n"/>
    </row>
    <row r="7" ht="21.75" customHeight="1" s="39">
      <c r="A7" s="42" t="n"/>
      <c r="B7" s="42" t="n"/>
      <c r="C7" s="42" t="n"/>
      <c r="D7" s="42" t="n"/>
      <c r="E7" s="42" t="n"/>
      <c r="F7" s="42" t="n"/>
      <c r="G7" s="42" t="n"/>
      <c r="H7" s="42" t="n"/>
      <c r="I7" s="52" t="n"/>
      <c r="J7" s="49" t="n"/>
      <c r="K7" s="43" t="n"/>
      <c r="L7" s="43" t="n"/>
      <c r="M7" s="43" t="n"/>
    </row>
    <row r="8" ht="21.75" customHeight="1" s="39">
      <c r="A8" s="42" t="n"/>
      <c r="B8" s="42" t="n"/>
      <c r="C8" s="42" t="n"/>
      <c r="D8" s="42" t="n"/>
      <c r="E8" s="42" t="n"/>
      <c r="F8" s="42" t="n"/>
      <c r="G8" s="42" t="n"/>
      <c r="H8" s="42" t="n"/>
      <c r="I8" s="52" t="n"/>
      <c r="J8" s="49" t="n"/>
      <c r="K8" s="43" t="n"/>
      <c r="L8" s="43" t="n"/>
      <c r="M8" s="43" t="n"/>
    </row>
    <row r="9" ht="21.75" customHeight="1" s="39">
      <c r="A9" s="42" t="n"/>
      <c r="B9" s="42" t="n"/>
      <c r="C9" s="42" t="n"/>
      <c r="D9" s="42" t="n"/>
      <c r="E9" s="42" t="n"/>
      <c r="F9" s="42" t="n"/>
      <c r="G9" s="42" t="n"/>
      <c r="H9" s="42" t="n"/>
      <c r="I9" s="52" t="n"/>
      <c r="J9" s="49" t="n"/>
      <c r="K9" s="43" t="n"/>
      <c r="L9" s="43" t="n"/>
      <c r="M9" s="43" t="n"/>
    </row>
    <row r="10" ht="21.75" customHeight="1" s="39">
      <c r="A10" s="42" t="n"/>
      <c r="B10" s="42" t="n"/>
      <c r="C10" s="42" t="n"/>
      <c r="D10" s="42" t="n"/>
      <c r="E10" s="42" t="n"/>
      <c r="F10" s="42" t="n"/>
      <c r="G10" s="42" t="n"/>
      <c r="H10" s="42" t="n"/>
      <c r="I10" s="52" t="n"/>
      <c r="J10" s="49" t="n"/>
      <c r="K10" s="43" t="n"/>
      <c r="L10" s="43" t="n"/>
      <c r="M10" s="43" t="n"/>
    </row>
    <row r="11" ht="21.75" customHeight="1" s="39">
      <c r="A11" s="42" t="n"/>
      <c r="B11" s="42" t="n"/>
      <c r="C11" s="42" t="n"/>
      <c r="D11" s="42" t="n"/>
      <c r="E11" s="42" t="n"/>
      <c r="F11" s="42" t="n"/>
      <c r="G11" s="42" t="n"/>
      <c r="H11" s="42" t="n"/>
      <c r="I11" s="52" t="n"/>
      <c r="J11" s="49" t="n"/>
      <c r="K11" s="43" t="n"/>
      <c r="L11" s="43" t="n"/>
      <c r="M11" s="43" t="n"/>
    </row>
    <row r="12" ht="21.75" customHeight="1" s="39">
      <c r="A12" s="42" t="n"/>
      <c r="B12" s="42" t="n"/>
      <c r="C12" s="42" t="n"/>
      <c r="D12" s="42" t="n"/>
      <c r="E12" s="42" t="n"/>
      <c r="F12" s="42" t="n"/>
      <c r="G12" s="42" t="n"/>
      <c r="H12" s="42" t="n"/>
      <c r="I12" s="52" t="n"/>
      <c r="J12" s="49" t="n"/>
      <c r="K12" s="43" t="n"/>
      <c r="L12" s="43" t="n"/>
      <c r="M12" s="43" t="n"/>
    </row>
    <row r="13" ht="21.75" customHeight="1" s="39">
      <c r="A13" s="42" t="n"/>
      <c r="B13" s="42" t="n"/>
      <c r="C13" s="42" t="n"/>
      <c r="D13" s="42" t="n"/>
      <c r="E13" s="42" t="n"/>
      <c r="F13" s="42" t="n"/>
      <c r="G13" s="42" t="n"/>
      <c r="H13" s="42" t="n"/>
      <c r="I13" s="52" t="n"/>
      <c r="J13" s="49" t="n"/>
      <c r="K13" s="43" t="n"/>
      <c r="L13" s="43" t="n"/>
      <c r="M13" s="43" t="n"/>
    </row>
    <row r="14" ht="21.75" customHeight="1" s="39">
      <c r="A14" s="42" t="n"/>
      <c r="B14" s="42" t="n"/>
      <c r="C14" s="42" t="n"/>
      <c r="D14" s="42" t="n"/>
      <c r="E14" s="42" t="n"/>
      <c r="F14" s="42" t="n"/>
      <c r="G14" s="42" t="n"/>
      <c r="H14" s="42" t="n"/>
      <c r="I14" s="52" t="n"/>
      <c r="J14" s="49" t="n"/>
      <c r="K14" s="43" t="n"/>
      <c r="L14" s="43" t="n"/>
      <c r="M14" s="43" t="n"/>
    </row>
    <row r="15" ht="21.75" customHeight="1" s="39">
      <c r="A15" s="42" t="n"/>
      <c r="B15" s="42" t="n"/>
      <c r="C15" s="42" t="n"/>
      <c r="D15" s="42" t="n"/>
      <c r="E15" s="42" t="n"/>
      <c r="F15" s="42" t="n"/>
      <c r="G15" s="42" t="n"/>
      <c r="H15" s="42" t="n"/>
      <c r="I15" s="52" t="n"/>
      <c r="J15" s="49" t="n"/>
      <c r="K15" s="43" t="n"/>
      <c r="L15" s="43" t="n"/>
      <c r="M15" s="43" t="n"/>
    </row>
    <row r="16" ht="21.75" customHeight="1" s="39">
      <c r="A16" s="42" t="n"/>
      <c r="B16" s="42" t="n"/>
      <c r="C16" s="42" t="n"/>
      <c r="D16" s="42" t="n"/>
      <c r="E16" s="42" t="n"/>
      <c r="F16" s="42" t="n"/>
      <c r="G16" s="42" t="n"/>
      <c r="H16" s="42" t="n"/>
      <c r="I16" s="52" t="n"/>
      <c r="J16" s="49" t="n"/>
      <c r="K16" s="43" t="n"/>
      <c r="L16" s="43" t="n"/>
      <c r="M16" s="43" t="n"/>
    </row>
    <row r="17" ht="21.75" customHeight="1" s="39">
      <c r="A17" s="42" t="n"/>
      <c r="B17" s="42" t="n"/>
      <c r="C17" s="42" t="n"/>
      <c r="D17" s="42" t="n"/>
      <c r="E17" s="42" t="n"/>
      <c r="F17" s="42" t="n"/>
      <c r="G17" s="42" t="n"/>
      <c r="H17" s="42" t="n"/>
      <c r="I17" s="52" t="n"/>
      <c r="J17" s="49" t="n"/>
      <c r="K17" s="43" t="n"/>
      <c r="L17" s="43" t="n"/>
      <c r="M17" s="43" t="n"/>
    </row>
    <row r="18" ht="21.75" customHeight="1" s="39">
      <c r="A18" s="42" t="n"/>
      <c r="B18" s="42" t="n"/>
      <c r="C18" s="42" t="n"/>
      <c r="D18" s="42" t="n"/>
      <c r="E18" s="42" t="n"/>
      <c r="F18" s="42" t="n"/>
      <c r="G18" s="42" t="n"/>
      <c r="H18" s="42" t="n"/>
      <c r="I18" s="52" t="n"/>
      <c r="J18" s="49" t="n"/>
      <c r="K18" s="43" t="n"/>
      <c r="L18" s="43" t="n"/>
      <c r="M18" s="43" t="n"/>
    </row>
    <row r="19" ht="21.75" customHeight="1" s="39">
      <c r="A19" s="42" t="n"/>
      <c r="B19" s="42" t="n"/>
      <c r="C19" s="42" t="n"/>
      <c r="D19" s="42" t="n"/>
      <c r="E19" s="42" t="n"/>
      <c r="F19" s="42" t="n"/>
      <c r="G19" s="42" t="n"/>
      <c r="H19" s="42" t="n"/>
      <c r="I19" s="52" t="n"/>
      <c r="J19" s="49" t="n"/>
      <c r="K19" s="43" t="n"/>
      <c r="L19" s="43" t="n"/>
      <c r="M19" s="43" t="n"/>
    </row>
    <row r="20" ht="21.75" customHeight="1" s="39">
      <c r="A20" s="42" t="n"/>
      <c r="B20" s="42" t="n"/>
      <c r="C20" s="42" t="n"/>
      <c r="D20" s="42" t="n"/>
      <c r="E20" s="42" t="n"/>
      <c r="F20" s="42" t="n"/>
      <c r="G20" s="42" t="n"/>
      <c r="H20" s="42" t="n"/>
      <c r="I20" s="52" t="n"/>
      <c r="J20" s="49" t="n"/>
      <c r="K20" s="43" t="n"/>
      <c r="L20" s="43" t="n"/>
      <c r="M20" s="43" t="n"/>
    </row>
    <row r="23" ht="15" customHeight="1" s="39">
      <c r="A23" s="47" t="inlineStr">
        <is>
          <t>LÉGENDE</t>
        </is>
      </c>
    </row>
    <row r="24" ht="15" customHeight="1" s="39">
      <c r="A24" s="48" t="inlineStr">
        <is>
          <t>• Texte bleu : Donnée à saisir manuellement</t>
        </is>
      </c>
    </row>
    <row r="25" ht="15" customHeight="1" s="39">
      <c r="A25" s="48" t="inlineStr">
        <is>
          <t>• Texte noir : Formule calculée automatiquement</t>
        </is>
      </c>
    </row>
    <row r="26" ht="15" customHeight="1" s="39">
      <c r="A26" s="48" t="inlineStr">
        <is>
          <t>• Fond jaune : Cellule obligatoire à renseigner</t>
        </is>
      </c>
    </row>
  </sheetData>
  <mergeCells count="2">
    <mergeCell ref="A2:M2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P23"/>
  <sheetViews>
    <sheetView showFormulas="0" showGridLines="1" showRowColHeaders="1" showZeros="1" rightToLeft="0" tabSelected="1" showOutlineSymbols="1" defaultGridColor="1" view="normal" topLeftCell="A1" colorId="64" zoomScale="134" zoomScaleNormal="134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K8" activeCellId="0" sqref="K8"/>
    </sheetView>
  </sheetViews>
  <sheetFormatPr baseColWidth="8" defaultColWidth="8.66796875" defaultRowHeight="15" zeroHeight="0" outlineLevelRow="0"/>
  <cols>
    <col width="18" customWidth="1" style="38" min="1" max="1"/>
    <col width="22" customWidth="1" style="38" min="2" max="2"/>
    <col width="18" customWidth="1" style="38" min="3" max="3"/>
    <col width="16" customWidth="1" style="38" min="4" max="4"/>
    <col width="22" customWidth="1" style="38" min="5" max="5"/>
    <col width="18" customWidth="1" style="38" min="6" max="7"/>
    <col width="14" customWidth="1" style="38" min="8" max="9"/>
    <col width="13" customWidth="1" style="38" min="10" max="11"/>
    <col width="17" customWidth="1" style="38" min="12" max="13"/>
  </cols>
  <sheetData>
    <row r="1" ht="25.5" customHeight="1" s="39">
      <c r="A1" s="40" t="inlineStr">
        <is>
          <t>FINANCIER COTÉ — Holding 1</t>
        </is>
      </c>
    </row>
    <row r="2" ht="27.75" customHeight="1" s="39">
      <c r="A2" s="51" t="inlineStr">
        <is>
          <t>ℹ Les valeurs 01/01 et [Date du reporting] proviennent des relevés dépositaires. Pour les contrats multi-poches, renseigner chaque poche sur une ligne séparée. Date d'investissement et Nominal investi : valeurs d'origine du contrat/poche, à renseigner manuellement.</t>
        </is>
      </c>
    </row>
    <row r="3" ht="37.5" customHeight="1" s="39">
      <c r="A3" s="41" t="inlineStr">
        <is>
          <t>Nature contrat
(AV/Capi/CTO)</t>
        </is>
      </c>
      <c r="B3" s="41" t="inlineStr">
        <is>
          <t>Assureur / Banque</t>
        </is>
      </c>
      <c r="C3" s="41" t="inlineStr">
        <is>
          <t>Intermédiaire</t>
        </is>
      </c>
      <c r="D3" s="41" t="inlineStr">
        <is>
          <t>Type poche
(FID/FAS/FE/Mono)</t>
        </is>
      </c>
      <c r="E3" s="41" t="inlineStr">
        <is>
          <t>Société de gestion</t>
        </is>
      </c>
      <c r="F3" s="41" t="inlineStr">
        <is>
          <t>Dépositaire</t>
        </is>
      </c>
      <c r="G3" s="41" t="inlineStr">
        <is>
          <t>Mode de gestion</t>
        </is>
      </c>
      <c r="H3" s="41" t="inlineStr">
        <is>
          <t>Profil</t>
        </is>
      </c>
      <c r="I3" s="41" t="inlineStr">
        <is>
          <t>Date d'investissement</t>
        </is>
      </c>
      <c r="J3" s="41" t="inlineStr">
        <is>
          <t>Nantissement
(Oui / —)</t>
        </is>
      </c>
      <c r="K3" s="41" t="inlineStr">
        <is>
          <t>Nominal investi (€)</t>
        </is>
      </c>
      <c r="L3" s="41" t="inlineStr">
        <is>
          <t>Valeur 01/01 (€)</t>
        </is>
      </c>
      <c r="M3" s="41" t="inlineStr">
        <is>
          <t>Valeur au [Date] (€)</t>
        </is>
      </c>
      <c r="N3" s="38" t="inlineStr">
        <is>
          <t>Classe Rhétorès (12 classes)</t>
        </is>
      </c>
      <c r="O3" s="38" t="inlineStr">
        <is>
          <t>Géographie (Actions)</t>
        </is>
      </c>
      <c r="P3" s="38" t="inlineStr">
        <is>
          <t>SRI (1-7)</t>
        </is>
      </c>
    </row>
    <row r="4" ht="21.75" customHeight="1" s="39">
      <c r="A4" s="42" t="n"/>
      <c r="B4" s="42" t="n"/>
      <c r="C4" s="42" t="n"/>
      <c r="D4" s="42" t="n"/>
      <c r="E4" s="42" t="n"/>
      <c r="F4" s="42" t="n"/>
      <c r="G4" s="42" t="n"/>
      <c r="H4" s="42" t="n"/>
      <c r="I4" s="52" t="n"/>
      <c r="J4" s="49" t="n"/>
      <c r="K4" s="43" t="n"/>
      <c r="L4" s="43" t="n"/>
      <c r="M4" s="43" t="n"/>
    </row>
    <row r="5" ht="21.75" customHeight="1" s="39">
      <c r="A5" s="42" t="n"/>
      <c r="B5" s="42" t="n"/>
      <c r="C5" s="42" t="n"/>
      <c r="D5" s="42" t="n"/>
      <c r="E5" s="42" t="n"/>
      <c r="F5" s="42" t="n"/>
      <c r="G5" s="42" t="n"/>
      <c r="H5" s="42" t="n"/>
      <c r="I5" s="52" t="n"/>
      <c r="J5" s="49" t="n"/>
      <c r="K5" s="43" t="n"/>
      <c r="L5" s="43" t="n"/>
      <c r="M5" s="43" t="n"/>
    </row>
    <row r="6" ht="21.75" customHeight="1" s="39">
      <c r="A6" s="42" t="n"/>
      <c r="B6" s="42" t="n"/>
      <c r="C6" s="42" t="n"/>
      <c r="D6" s="42" t="n"/>
      <c r="E6" s="42" t="n"/>
      <c r="F6" s="42" t="n"/>
      <c r="G6" s="42" t="n"/>
      <c r="H6" s="42" t="n"/>
      <c r="I6" s="52" t="n"/>
      <c r="J6" s="49" t="n"/>
      <c r="K6" s="43" t="n"/>
      <c r="L6" s="43" t="n"/>
      <c r="M6" s="43" t="n"/>
    </row>
    <row r="7" ht="21.75" customHeight="1" s="39">
      <c r="A7" s="42" t="n"/>
      <c r="B7" s="42" t="n"/>
      <c r="C7" s="42" t="n"/>
      <c r="D7" s="42" t="n"/>
      <c r="E7" s="42" t="n"/>
      <c r="F7" s="42" t="n"/>
      <c r="G7" s="42" t="n"/>
      <c r="H7" s="42" t="n"/>
      <c r="I7" s="52" t="n"/>
      <c r="J7" s="49" t="n"/>
      <c r="K7" s="43" t="n"/>
      <c r="L7" s="43" t="n"/>
      <c r="M7" s="43" t="n"/>
    </row>
    <row r="8" ht="21.75" customHeight="1" s="39">
      <c r="A8" s="42" t="n"/>
      <c r="B8" s="42" t="n"/>
      <c r="C8" s="42" t="n"/>
      <c r="D8" s="42" t="n"/>
      <c r="E8" s="42" t="n"/>
      <c r="F8" s="42" t="n"/>
      <c r="G8" s="42" t="n"/>
      <c r="H8" s="42" t="n"/>
      <c r="I8" s="52" t="n"/>
      <c r="J8" s="49" t="n"/>
      <c r="K8" s="43" t="n"/>
      <c r="L8" s="43" t="n"/>
      <c r="M8" s="43" t="n"/>
    </row>
    <row r="9" ht="21.75" customHeight="1" s="39">
      <c r="A9" s="42" t="n"/>
      <c r="B9" s="42" t="n"/>
      <c r="C9" s="42" t="n"/>
      <c r="D9" s="42" t="n"/>
      <c r="E9" s="42" t="n"/>
      <c r="F9" s="42" t="n"/>
      <c r="G9" s="42" t="n"/>
      <c r="H9" s="42" t="n"/>
      <c r="I9" s="52" t="n"/>
      <c r="J9" s="49" t="n"/>
      <c r="K9" s="43" t="n"/>
      <c r="L9" s="43" t="n"/>
      <c r="M9" s="43" t="n"/>
    </row>
    <row r="10" ht="21.75" customHeight="1" s="39">
      <c r="A10" s="42" t="n"/>
      <c r="B10" s="42" t="n"/>
      <c r="C10" s="42" t="n"/>
      <c r="D10" s="42" t="n"/>
      <c r="E10" s="42" t="n"/>
      <c r="F10" s="42" t="n"/>
      <c r="G10" s="42" t="n"/>
      <c r="H10" s="42" t="n"/>
      <c r="I10" s="52" t="n"/>
      <c r="J10" s="49" t="n"/>
      <c r="K10" s="43" t="n"/>
      <c r="L10" s="43" t="n"/>
      <c r="M10" s="43" t="n"/>
    </row>
    <row r="11" ht="21.75" customHeight="1" s="39">
      <c r="A11" s="42" t="n"/>
      <c r="B11" s="42" t="n"/>
      <c r="C11" s="42" t="n"/>
      <c r="D11" s="42" t="n"/>
      <c r="E11" s="42" t="n"/>
      <c r="F11" s="42" t="n"/>
      <c r="G11" s="42" t="n"/>
      <c r="H11" s="42" t="n"/>
      <c r="I11" s="52" t="n"/>
      <c r="J11" s="49" t="n"/>
      <c r="K11" s="43" t="n"/>
      <c r="L11" s="43" t="n"/>
      <c r="M11" s="43" t="n"/>
    </row>
    <row r="12" ht="21.75" customHeight="1" s="39">
      <c r="A12" s="42" t="n"/>
      <c r="B12" s="42" t="n"/>
      <c r="C12" s="42" t="n"/>
      <c r="D12" s="42" t="n"/>
      <c r="E12" s="42" t="n"/>
      <c r="F12" s="42" t="n"/>
      <c r="G12" s="42" t="n"/>
      <c r="H12" s="42" t="n"/>
      <c r="I12" s="52" t="n"/>
      <c r="J12" s="49" t="n"/>
      <c r="K12" s="43" t="n"/>
      <c r="L12" s="43" t="n"/>
      <c r="M12" s="43" t="n"/>
    </row>
    <row r="13" ht="21.75" customHeight="1" s="39">
      <c r="A13" s="42" t="n"/>
      <c r="B13" s="42" t="n"/>
      <c r="C13" s="42" t="n"/>
      <c r="D13" s="42" t="n"/>
      <c r="E13" s="42" t="n"/>
      <c r="F13" s="42" t="n"/>
      <c r="G13" s="42" t="n"/>
      <c r="H13" s="42" t="n"/>
      <c r="I13" s="52" t="n"/>
      <c r="J13" s="49" t="n"/>
      <c r="K13" s="43" t="n"/>
      <c r="L13" s="43" t="n"/>
      <c r="M13" s="43" t="n"/>
    </row>
    <row r="14" ht="21.75" customHeight="1" s="39">
      <c r="A14" s="42" t="n"/>
      <c r="B14" s="42" t="n"/>
      <c r="C14" s="42" t="n"/>
      <c r="D14" s="42" t="n"/>
      <c r="E14" s="42" t="n"/>
      <c r="F14" s="42" t="n"/>
      <c r="G14" s="42" t="n"/>
      <c r="H14" s="42" t="n"/>
      <c r="I14" s="52" t="n"/>
      <c r="J14" s="49" t="n"/>
      <c r="K14" s="43" t="n"/>
      <c r="L14" s="43" t="n"/>
      <c r="M14" s="43" t="n"/>
    </row>
    <row r="15" ht="21.75" customHeight="1" s="39">
      <c r="A15" s="42" t="n"/>
      <c r="B15" s="42" t="n"/>
      <c r="C15" s="42" t="n"/>
      <c r="D15" s="42" t="n"/>
      <c r="E15" s="42" t="n"/>
      <c r="F15" s="42" t="n"/>
      <c r="G15" s="42" t="n"/>
      <c r="H15" s="42" t="n"/>
      <c r="I15" s="52" t="n"/>
      <c r="J15" s="49" t="n"/>
      <c r="K15" s="43" t="n"/>
      <c r="L15" s="43" t="n"/>
      <c r="M15" s="43" t="n"/>
    </row>
    <row r="16" ht="21.75" customHeight="1" s="39">
      <c r="A16" s="42" t="n"/>
      <c r="B16" s="42" t="n"/>
      <c r="C16" s="42" t="n"/>
      <c r="D16" s="42" t="n"/>
      <c r="E16" s="42" t="n"/>
      <c r="F16" s="42" t="n"/>
      <c r="G16" s="42" t="n"/>
      <c r="H16" s="42" t="n"/>
      <c r="I16" s="52" t="n"/>
      <c r="J16" s="49" t="n"/>
      <c r="K16" s="43" t="n"/>
      <c r="L16" s="43" t="n"/>
      <c r="M16" s="43" t="n"/>
    </row>
    <row r="17" ht="21.75" customHeight="1" s="39">
      <c r="A17" s="42" t="n"/>
      <c r="B17" s="42" t="n"/>
      <c r="C17" s="42" t="n"/>
      <c r="D17" s="42" t="n"/>
      <c r="E17" s="42" t="n"/>
      <c r="F17" s="42" t="n"/>
      <c r="G17" s="42" t="n"/>
      <c r="H17" s="42" t="n"/>
      <c r="I17" s="52" t="n"/>
      <c r="J17" s="49" t="n"/>
      <c r="K17" s="43" t="n"/>
      <c r="L17" s="43" t="n"/>
      <c r="M17" s="43" t="n"/>
    </row>
    <row r="18" ht="21.75" customHeight="1" s="39">
      <c r="A18" s="42" t="n"/>
      <c r="B18" s="42" t="n"/>
      <c r="C18" s="42" t="n"/>
      <c r="D18" s="42" t="n"/>
      <c r="E18" s="42" t="n"/>
      <c r="F18" s="42" t="n"/>
      <c r="G18" s="42" t="n"/>
      <c r="H18" s="42" t="n"/>
      <c r="I18" s="52" t="n"/>
      <c r="J18" s="49" t="n"/>
      <c r="K18" s="43" t="n"/>
      <c r="L18" s="43" t="n"/>
      <c r="M18" s="43" t="n"/>
    </row>
    <row r="19" ht="21.75" customHeight="1" s="39">
      <c r="A19" s="42" t="n"/>
      <c r="B19" s="42" t="n"/>
      <c r="C19" s="42" t="n"/>
      <c r="D19" s="42" t="n"/>
      <c r="E19" s="42" t="n"/>
      <c r="F19" s="42" t="n"/>
      <c r="G19" s="42" t="n"/>
      <c r="H19" s="42" t="n"/>
      <c r="I19" s="52" t="n"/>
      <c r="J19" s="49" t="n"/>
      <c r="K19" s="43" t="n"/>
      <c r="L19" s="43" t="n"/>
      <c r="M19" s="43" t="n"/>
    </row>
    <row r="20" ht="21.75" customHeight="1" s="39">
      <c r="A20" s="42" t="inlineStr">
        <is>
          <t>LÉGENDE</t>
        </is>
      </c>
      <c r="B20" s="42" t="n"/>
      <c r="C20" s="42" t="n"/>
      <c r="D20" s="42" t="n"/>
      <c r="E20" s="42" t="n"/>
      <c r="F20" s="42" t="n"/>
      <c r="G20" s="42" t="n"/>
      <c r="H20" s="42" t="n"/>
      <c r="I20" s="52" t="n"/>
      <c r="J20" s="49" t="n"/>
      <c r="K20" s="43" t="n"/>
      <c r="L20" s="43" t="n"/>
      <c r="M20" s="43" t="n"/>
    </row>
    <row r="21" ht="15" customHeight="1" s="39">
      <c r="A21" s="53" t="inlineStr">
        <is>
          <t>• Texte bleu : Donnée à saisir manuellement</t>
        </is>
      </c>
    </row>
    <row r="22" ht="15" customHeight="1" s="39">
      <c r="A22" s="53" t="inlineStr">
        <is>
          <t>• Texte noir : Formule calculée automatiquement</t>
        </is>
      </c>
    </row>
    <row r="23" ht="15" customHeight="1" s="39">
      <c r="A23" s="48" t="inlineStr">
        <is>
          <t>• Fond jaune : Cellule obligatoire à renseigner</t>
        </is>
      </c>
    </row>
  </sheetData>
  <mergeCells count="2">
    <mergeCell ref="A2:M2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P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6796875" defaultRowHeight="15" zeroHeight="0" outlineLevelRow="0"/>
  <cols>
    <col width="18" customWidth="1" style="38" min="1" max="1"/>
    <col width="22" customWidth="1" style="38" min="2" max="2"/>
    <col width="18" customWidth="1" style="38" min="3" max="3"/>
    <col width="16" customWidth="1" style="38" min="4" max="4"/>
    <col width="22" customWidth="1" style="38" min="5" max="5"/>
    <col width="18" customWidth="1" style="38" min="6" max="7"/>
    <col width="14" customWidth="1" style="38" min="8" max="9"/>
    <col width="13" customWidth="1" style="38" min="10" max="11"/>
    <col width="17" customWidth="1" style="38" min="12" max="13"/>
  </cols>
  <sheetData>
    <row r="1" ht="25.5" customHeight="1" s="39">
      <c r="A1" s="40" t="inlineStr">
        <is>
          <t>FINANCIER COTÉ — Holding 2</t>
        </is>
      </c>
    </row>
    <row r="2" ht="27.75" customHeight="1" s="39">
      <c r="A2" s="51" t="inlineStr">
        <is>
          <t>ℹ Les valeurs 01/01 et [Date du reporting] proviennent des relevés dépositaires. Pour les contrats multi-poches, renseigner chaque poche sur une ligne séparée. Date d'investissement et Nominal investi : valeurs d'origine du contrat/poche, à renseigner manuellement.</t>
        </is>
      </c>
    </row>
    <row r="3" ht="37.5" customHeight="1" s="39">
      <c r="A3" s="41" t="inlineStr">
        <is>
          <t>Nature contrat
(AV/Capi/CTO)</t>
        </is>
      </c>
      <c r="B3" s="41" t="inlineStr">
        <is>
          <t>Assureur / Banque</t>
        </is>
      </c>
      <c r="C3" s="41" t="inlineStr">
        <is>
          <t>Intermédiaire</t>
        </is>
      </c>
      <c r="D3" s="41" t="inlineStr">
        <is>
          <t>Type poche
(FID/FAS/FE/Mono)</t>
        </is>
      </c>
      <c r="E3" s="41" t="inlineStr">
        <is>
          <t>Société de gestion</t>
        </is>
      </c>
      <c r="F3" s="41" t="inlineStr">
        <is>
          <t>Dépositaire</t>
        </is>
      </c>
      <c r="G3" s="41" t="inlineStr">
        <is>
          <t>Mode de gestion</t>
        </is>
      </c>
      <c r="H3" s="41" t="inlineStr">
        <is>
          <t>Profil</t>
        </is>
      </c>
      <c r="I3" s="41" t="inlineStr">
        <is>
          <t>Date d'investissement</t>
        </is>
      </c>
      <c r="J3" s="41" t="inlineStr">
        <is>
          <t>Nantissement
(Oui / —)</t>
        </is>
      </c>
      <c r="K3" s="41" t="inlineStr">
        <is>
          <t>Nominal investi (€)</t>
        </is>
      </c>
      <c r="L3" s="41" t="inlineStr">
        <is>
          <t>Valeur 01/01 (€)</t>
        </is>
      </c>
      <c r="M3" s="41" t="inlineStr">
        <is>
          <t>Valeur au [Date] (€)</t>
        </is>
      </c>
      <c r="N3" s="38" t="inlineStr">
        <is>
          <t>Classe Rhétorès (12 classes)</t>
        </is>
      </c>
      <c r="O3" s="38" t="inlineStr">
        <is>
          <t>Géographie (Actions)</t>
        </is>
      </c>
      <c r="P3" s="38" t="inlineStr">
        <is>
          <t>SRI (1-7)</t>
        </is>
      </c>
    </row>
    <row r="4" ht="21.75" customHeight="1" s="39">
      <c r="A4" s="42" t="n"/>
      <c r="B4" s="42" t="n"/>
      <c r="C4" s="42" t="n"/>
      <c r="D4" s="42" t="n"/>
      <c r="E4" s="42" t="n"/>
      <c r="F4" s="42" t="n"/>
      <c r="G4" s="42" t="n"/>
      <c r="H4" s="42" t="n"/>
      <c r="I4" s="52" t="n"/>
      <c r="J4" s="49" t="n"/>
      <c r="K4" s="43" t="n"/>
      <c r="L4" s="43" t="n"/>
      <c r="M4" s="43" t="n"/>
    </row>
    <row r="5" ht="21.75" customHeight="1" s="39">
      <c r="A5" s="42" t="n"/>
      <c r="B5" s="42" t="n"/>
      <c r="C5" s="42" t="n"/>
      <c r="D5" s="42" t="n"/>
      <c r="E5" s="42" t="n"/>
      <c r="F5" s="42" t="n"/>
      <c r="G5" s="42" t="n"/>
      <c r="H5" s="42" t="n"/>
      <c r="I5" s="52" t="n"/>
      <c r="J5" s="49" t="n"/>
      <c r="K5" s="43" t="n"/>
      <c r="L5" s="43" t="n"/>
      <c r="M5" s="43" t="n"/>
    </row>
    <row r="6" ht="21.75" customHeight="1" s="39">
      <c r="A6" s="42" t="n"/>
      <c r="B6" s="42" t="n"/>
      <c r="C6" s="42" t="n"/>
      <c r="D6" s="42" t="n"/>
      <c r="E6" s="42" t="n"/>
      <c r="F6" s="42" t="n"/>
      <c r="G6" s="42" t="n"/>
      <c r="H6" s="42" t="n"/>
      <c r="I6" s="52" t="n"/>
      <c r="J6" s="49" t="n"/>
      <c r="K6" s="43" t="n"/>
      <c r="L6" s="43" t="n"/>
      <c r="M6" s="43" t="n"/>
    </row>
    <row r="7" ht="21.75" customHeight="1" s="39">
      <c r="A7" s="42" t="n"/>
      <c r="B7" s="42" t="n"/>
      <c r="C7" s="42" t="n"/>
      <c r="D7" s="42" t="n"/>
      <c r="E7" s="42" t="n"/>
      <c r="F7" s="42" t="n"/>
      <c r="G7" s="42" t="n"/>
      <c r="H7" s="42" t="n"/>
      <c r="I7" s="52" t="n"/>
      <c r="J7" s="49" t="n"/>
      <c r="K7" s="43" t="n"/>
      <c r="L7" s="43" t="n"/>
      <c r="M7" s="43" t="n"/>
    </row>
    <row r="8" ht="21.75" customHeight="1" s="39">
      <c r="A8" s="42" t="n"/>
      <c r="B8" s="42" t="n"/>
      <c r="C8" s="42" t="n"/>
      <c r="D8" s="42" t="n"/>
      <c r="E8" s="42" t="n"/>
      <c r="F8" s="42" t="n"/>
      <c r="G8" s="42" t="n"/>
      <c r="H8" s="42" t="n"/>
      <c r="I8" s="52" t="n"/>
      <c r="J8" s="49" t="n"/>
      <c r="K8" s="43" t="n"/>
      <c r="L8" s="43" t="n"/>
      <c r="M8" s="43" t="n"/>
    </row>
    <row r="9" ht="21.75" customHeight="1" s="39">
      <c r="A9" s="42" t="n"/>
      <c r="B9" s="42" t="n"/>
      <c r="C9" s="42" t="n"/>
      <c r="D9" s="42" t="n"/>
      <c r="E9" s="42" t="n"/>
      <c r="F9" s="42" t="n"/>
      <c r="G9" s="42" t="n"/>
      <c r="H9" s="42" t="n"/>
      <c r="I9" s="52" t="n"/>
      <c r="J9" s="49" t="n"/>
      <c r="K9" s="43" t="n"/>
      <c r="L9" s="43" t="n"/>
      <c r="M9" s="43" t="n"/>
    </row>
    <row r="10" ht="21.75" customHeight="1" s="39">
      <c r="A10" s="42" t="n"/>
      <c r="B10" s="42" t="n"/>
      <c r="C10" s="42" t="n"/>
      <c r="D10" s="42" t="n"/>
      <c r="E10" s="42" t="n"/>
      <c r="F10" s="42" t="n"/>
      <c r="G10" s="42" t="n"/>
      <c r="H10" s="42" t="n"/>
      <c r="I10" s="52" t="n"/>
      <c r="J10" s="49" t="n"/>
      <c r="K10" s="43" t="n"/>
      <c r="L10" s="43" t="n"/>
      <c r="M10" s="43" t="n"/>
    </row>
    <row r="11" ht="21.75" customHeight="1" s="39">
      <c r="A11" s="42" t="n"/>
      <c r="B11" s="42" t="n"/>
      <c r="C11" s="42" t="n"/>
      <c r="D11" s="42" t="n"/>
      <c r="E11" s="42" t="n"/>
      <c r="F11" s="42" t="n"/>
      <c r="G11" s="42" t="n"/>
      <c r="H11" s="42" t="n"/>
      <c r="I11" s="52" t="n"/>
      <c r="J11" s="49" t="n"/>
      <c r="K11" s="43" t="n"/>
      <c r="L11" s="43" t="n"/>
      <c r="M11" s="43" t="n"/>
    </row>
    <row r="12" ht="21.75" customHeight="1" s="39">
      <c r="A12" s="42" t="n"/>
      <c r="B12" s="42" t="n"/>
      <c r="C12" s="42" t="n"/>
      <c r="D12" s="42" t="n"/>
      <c r="E12" s="42" t="n"/>
      <c r="F12" s="42" t="n"/>
      <c r="G12" s="42" t="n"/>
      <c r="H12" s="42" t="n"/>
      <c r="I12" s="52" t="n"/>
      <c r="J12" s="49" t="n"/>
      <c r="K12" s="43" t="n"/>
      <c r="L12" s="43" t="n"/>
      <c r="M12" s="43" t="n"/>
    </row>
    <row r="13" ht="21.75" customHeight="1" s="39">
      <c r="A13" s="42" t="n"/>
      <c r="B13" s="42" t="n"/>
      <c r="C13" s="42" t="n"/>
      <c r="D13" s="42" t="n"/>
      <c r="E13" s="42" t="n"/>
      <c r="F13" s="42" t="n"/>
      <c r="G13" s="42" t="n"/>
      <c r="H13" s="42" t="n"/>
      <c r="I13" s="52" t="n"/>
      <c r="J13" s="49" t="n"/>
      <c r="K13" s="43" t="n"/>
      <c r="L13" s="43" t="n"/>
      <c r="M13" s="43" t="n"/>
    </row>
    <row r="14" ht="21.75" customHeight="1" s="39">
      <c r="A14" s="42" t="n"/>
      <c r="B14" s="42" t="n"/>
      <c r="C14" s="42" t="n"/>
      <c r="D14" s="42" t="n"/>
      <c r="E14" s="42" t="n"/>
      <c r="F14" s="42" t="n"/>
      <c r="G14" s="42" t="n"/>
      <c r="H14" s="42" t="n"/>
      <c r="I14" s="52" t="n"/>
      <c r="J14" s="49" t="n"/>
      <c r="K14" s="43" t="n"/>
      <c r="L14" s="43" t="n"/>
      <c r="M14" s="43" t="n"/>
    </row>
    <row r="15" ht="21.75" customHeight="1" s="39">
      <c r="A15" s="42" t="n"/>
      <c r="B15" s="42" t="n"/>
      <c r="C15" s="42" t="n"/>
      <c r="D15" s="42" t="n"/>
      <c r="E15" s="42" t="n"/>
      <c r="F15" s="42" t="n"/>
      <c r="G15" s="42" t="n"/>
      <c r="H15" s="42" t="n"/>
      <c r="I15" s="52" t="n"/>
      <c r="J15" s="49" t="n"/>
      <c r="K15" s="43" t="n"/>
      <c r="L15" s="43" t="n"/>
      <c r="M15" s="43" t="n"/>
    </row>
    <row r="16" ht="21.75" customHeight="1" s="39">
      <c r="A16" s="42" t="n"/>
      <c r="B16" s="42" t="n"/>
      <c r="C16" s="42" t="n"/>
      <c r="D16" s="42" t="n"/>
      <c r="E16" s="42" t="n"/>
      <c r="F16" s="42" t="n"/>
      <c r="G16" s="42" t="n"/>
      <c r="H16" s="42" t="n"/>
      <c r="I16" s="52" t="n"/>
      <c r="J16" s="49" t="n"/>
      <c r="K16" s="43" t="n"/>
      <c r="L16" s="43" t="n"/>
      <c r="M16" s="43" t="n"/>
    </row>
    <row r="17" ht="21.75" customHeight="1" s="39">
      <c r="A17" s="42" t="n"/>
      <c r="B17" s="42" t="n"/>
      <c r="C17" s="42" t="n"/>
      <c r="D17" s="42" t="n"/>
      <c r="E17" s="42" t="n"/>
      <c r="F17" s="42" t="n"/>
      <c r="G17" s="42" t="n"/>
      <c r="H17" s="42" t="n"/>
      <c r="I17" s="52" t="n"/>
      <c r="J17" s="49" t="n"/>
      <c r="K17" s="43" t="n"/>
      <c r="L17" s="43" t="n"/>
      <c r="M17" s="43" t="n"/>
    </row>
    <row r="18" ht="21.75" customHeight="1" s="39">
      <c r="A18" s="42" t="n"/>
      <c r="B18" s="42" t="n"/>
      <c r="C18" s="42" t="n"/>
      <c r="D18" s="42" t="n"/>
      <c r="E18" s="42" t="n"/>
      <c r="F18" s="42" t="n"/>
      <c r="G18" s="42" t="n"/>
      <c r="H18" s="42" t="n"/>
      <c r="I18" s="52" t="n"/>
      <c r="J18" s="49" t="n"/>
      <c r="K18" s="43" t="n"/>
      <c r="L18" s="43" t="n"/>
      <c r="M18" s="43" t="n"/>
    </row>
    <row r="19" ht="21.75" customHeight="1" s="39">
      <c r="A19" s="42" t="n"/>
      <c r="B19" s="42" t="n"/>
      <c r="C19" s="42" t="n"/>
      <c r="D19" s="42" t="n"/>
      <c r="E19" s="42" t="n"/>
      <c r="F19" s="42" t="n"/>
      <c r="G19" s="42" t="n"/>
      <c r="H19" s="42" t="n"/>
      <c r="I19" s="52" t="n"/>
      <c r="J19" s="49" t="n"/>
      <c r="K19" s="43" t="n"/>
      <c r="L19" s="43" t="n"/>
      <c r="M19" s="43" t="n"/>
    </row>
    <row r="20" ht="21.75" customHeight="1" s="39">
      <c r="A20" s="42" t="inlineStr">
        <is>
          <t>LÉGENDE</t>
        </is>
      </c>
      <c r="B20" s="42" t="n"/>
      <c r="C20" s="42" t="n"/>
      <c r="D20" s="42" t="n"/>
      <c r="E20" s="42" t="n"/>
      <c r="F20" s="42" t="n"/>
      <c r="G20" s="42" t="n"/>
      <c r="H20" s="42" t="n"/>
      <c r="I20" s="52" t="n"/>
      <c r="J20" s="49" t="n"/>
      <c r="K20" s="43" t="n"/>
      <c r="L20" s="43" t="n"/>
      <c r="M20" s="43" t="n"/>
    </row>
    <row r="21" ht="15" customHeight="1" s="39">
      <c r="A21" s="53" t="inlineStr">
        <is>
          <t>• Texte bleu : Donnée à saisir manuellement</t>
        </is>
      </c>
    </row>
    <row r="22" ht="15" customHeight="1" s="39">
      <c r="A22" s="53" t="inlineStr">
        <is>
          <t>• Texte noir : Formule calculée automatiquement</t>
        </is>
      </c>
    </row>
    <row r="23" ht="15" customHeight="1" s="39">
      <c r="A23" s="48" t="inlineStr">
        <is>
          <t>• Fond jaune : Cellule obligatoire à renseigner</t>
        </is>
      </c>
    </row>
  </sheetData>
  <mergeCells count="2">
    <mergeCell ref="A2:M2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1" showRowColHeaders="1" showZeros="1" rightToLeft="0" tabSelected="0" showOutlineSymbols="1" defaultGridColor="1" view="normal" topLeftCell="A1" colorId="64" zoomScale="137" zoomScaleNormal="137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D11" activeCellId="0" sqref="D11"/>
    </sheetView>
  </sheetViews>
  <sheetFormatPr baseColWidth="8" defaultColWidth="8.66796875" defaultRowHeight="15" zeroHeight="0" outlineLevelRow="0"/>
  <cols>
    <col width="28" customWidth="1" style="38" min="1" max="1"/>
    <col width="18" customWidth="1" style="38" min="2" max="2"/>
    <col width="16" customWidth="1" style="38" min="3" max="4"/>
    <col width="18" customWidth="1" style="38" min="5" max="5"/>
    <col width="16" customWidth="1" style="38" min="6" max="6"/>
    <col width="14" customWidth="1" style="38" min="7" max="8"/>
  </cols>
  <sheetData>
    <row r="1" ht="25.5" customHeight="1" s="39">
      <c r="A1" s="40" t="inlineStr">
        <is>
          <t>MOUVEMENTS — PP</t>
        </is>
      </c>
      <c r="G1" s="54" t="inlineStr">
        <is>
          <t>Date fin période</t>
        </is>
      </c>
      <c r="H1" s="54" t="inlineStr">
        <is>
          <t>Nb jours période</t>
        </is>
      </c>
    </row>
    <row r="2" ht="27.75" customHeight="1" s="39">
      <c r="A2" s="51" t="inlineStr">
        <is>
          <t>ℹ Un mouvement par ligne. Retraits en négatif (ex: -2320000), versements en positif. Les colonnes E et F sont calculées automatiquement pour la méthode Modified Dietz.</t>
        </is>
      </c>
      <c r="G2" s="52" t="n"/>
      <c r="H2" s="50" t="n"/>
    </row>
    <row r="3" ht="37.5" customHeight="1" s="39">
      <c r="A3" s="41" t="inlineStr">
        <is>
          <t>Contrat / Poche</t>
        </is>
      </c>
      <c r="B3" s="41" t="inlineStr">
        <is>
          <t>Type
(Retrait / Versement)</t>
        </is>
      </c>
      <c r="C3" s="41" t="inlineStr">
        <is>
          <t>Montant (€)</t>
        </is>
      </c>
      <c r="D3" s="41" t="inlineStr">
        <is>
          <t>Date exacte</t>
        </is>
      </c>
      <c r="E3" s="41" t="inlineStr">
        <is>
          <t>Nb jours restants
(calculé auto)</t>
        </is>
      </c>
      <c r="F3" s="41" t="inlineStr">
        <is>
          <t>Poids W_i
(calculé auto)</t>
        </is>
      </c>
    </row>
    <row r="4" ht="21.75" customHeight="1" s="39">
      <c r="A4" s="42" t="n"/>
      <c r="B4" s="49" t="n"/>
      <c r="C4" s="43" t="n"/>
      <c r="D4" s="52" t="n"/>
      <c r="E4" s="55">
        <f>IF(OR(D4="",$G$2=""),"",$G$2-D4)</f>
        <v/>
      </c>
      <c r="F4" s="56">
        <f>IF(OR(E4="",$H$2=""),"",E4/$H$2)</f>
        <v/>
      </c>
    </row>
    <row r="5" ht="21.75" customHeight="1" s="39">
      <c r="A5" s="42" t="n"/>
      <c r="B5" s="49" t="n"/>
      <c r="C5" s="43" t="n"/>
      <c r="D5" s="52" t="n"/>
      <c r="E5" s="55">
        <f>IF(OR(D5="",$G$2=""),"",$G$2-D5)</f>
        <v/>
      </c>
      <c r="F5" s="56">
        <f>IF(OR(E5="",$H$2=""),"",E5/$H$2)</f>
        <v/>
      </c>
    </row>
    <row r="6" ht="21.75" customHeight="1" s="39">
      <c r="A6" s="42" t="n"/>
      <c r="B6" s="49" t="n"/>
      <c r="C6" s="43" t="n"/>
      <c r="D6" s="52" t="n"/>
      <c r="E6" s="55">
        <f>IF(OR(D6="",$G$2=""),"",$G$2-D6)</f>
        <v/>
      </c>
      <c r="F6" s="56">
        <f>IF(OR(E6="",$H$2=""),"",E6/$H$2)</f>
        <v/>
      </c>
    </row>
    <row r="7" ht="21.75" customHeight="1" s="39">
      <c r="A7" s="42" t="n"/>
      <c r="B7" s="49" t="n"/>
      <c r="C7" s="43" t="n"/>
      <c r="D7" s="52" t="n"/>
      <c r="E7" s="55">
        <f>IF(OR(D7="",$G$2=""),"",$G$2-D7)</f>
        <v/>
      </c>
      <c r="F7" s="56">
        <f>IF(OR(E7="",$H$2=""),"",E7/$H$2)</f>
        <v/>
      </c>
    </row>
    <row r="8" ht="21.75" customHeight="1" s="39">
      <c r="A8" s="42" t="n"/>
      <c r="B8" s="49" t="n"/>
      <c r="C8" s="43" t="n"/>
      <c r="D8" s="52" t="n"/>
      <c r="E8" s="55">
        <f>IF(OR(D8="",$G$2=""),"",$G$2-D8)</f>
        <v/>
      </c>
      <c r="F8" s="56">
        <f>IF(OR(E8="",$H$2=""),"",E8/$H$2)</f>
        <v/>
      </c>
    </row>
    <row r="9" ht="21.75" customHeight="1" s="39">
      <c r="A9" s="42" t="n"/>
      <c r="B9" s="49" t="n"/>
      <c r="C9" s="43" t="n"/>
      <c r="D9" s="52" t="n"/>
      <c r="E9" s="55">
        <f>IF(OR(D9="",$G$2=""),"",$G$2-D9)</f>
        <v/>
      </c>
      <c r="F9" s="56">
        <f>IF(OR(E9="",$H$2=""),"",E9/$H$2)</f>
        <v/>
      </c>
    </row>
    <row r="10" ht="21.75" customHeight="1" s="39">
      <c r="A10" s="42" t="n"/>
      <c r="B10" s="49" t="n"/>
      <c r="C10" s="43" t="n"/>
      <c r="D10" s="52" t="n"/>
      <c r="E10" s="55">
        <f>IF(OR(D10="",$G$2=""),"",$G$2-D10)</f>
        <v/>
      </c>
      <c r="F10" s="56">
        <f>IF(OR(E10="",$H$2=""),"",E10/$H$2)</f>
        <v/>
      </c>
    </row>
    <row r="11" ht="21.75" customHeight="1" s="39">
      <c r="A11" s="42" t="n"/>
      <c r="B11" s="49" t="n"/>
      <c r="C11" s="43" t="n"/>
      <c r="D11" s="52" t="n"/>
      <c r="E11" s="55">
        <f>IF(OR(D11="",$G$2=""),"",$G$2-D11)</f>
        <v/>
      </c>
      <c r="F11" s="56">
        <f>IF(OR(E11="",$H$2=""),"",E11/$H$2)</f>
        <v/>
      </c>
    </row>
    <row r="12" ht="21.75" customHeight="1" s="39">
      <c r="A12" s="42" t="n"/>
      <c r="B12" s="49" t="n"/>
      <c r="C12" s="43" t="n"/>
      <c r="D12" s="52" t="n"/>
      <c r="E12" s="55">
        <f>IF(OR(D12="",$G$2=""),"",$G$2-D12)</f>
        <v/>
      </c>
      <c r="F12" s="56">
        <f>IF(OR(E12="",$H$2=""),"",E12/$H$2)</f>
        <v/>
      </c>
    </row>
    <row r="13" ht="21.75" customHeight="1" s="39">
      <c r="A13" s="42" t="n"/>
      <c r="B13" s="49" t="n"/>
      <c r="C13" s="43" t="n"/>
      <c r="D13" s="52" t="n"/>
      <c r="E13" s="55">
        <f>IF(OR(D13="",$G$2=""),"",$G$2-D13)</f>
        <v/>
      </c>
      <c r="F13" s="56">
        <f>IF(OR(E13="",$H$2=""),"",E13/$H$2)</f>
        <v/>
      </c>
    </row>
    <row r="14" ht="21.75" customHeight="1" s="39">
      <c r="A14" s="42" t="n"/>
      <c r="B14" s="49" t="n"/>
      <c r="C14" s="43" t="n"/>
      <c r="D14" s="52" t="n"/>
      <c r="E14" s="55">
        <f>IF(OR(D14="",$G$2=""),"",$G$2-D14)</f>
        <v/>
      </c>
      <c r="F14" s="56">
        <f>IF(OR(E14="",$H$2=""),"",E14/$H$2)</f>
        <v/>
      </c>
    </row>
    <row r="15" ht="21.75" customHeight="1" s="39">
      <c r="A15" s="42" t="n"/>
      <c r="B15" s="49" t="n"/>
      <c r="C15" s="43" t="n"/>
      <c r="D15" s="52" t="n"/>
      <c r="E15" s="55">
        <f>IF(OR(D15="",$G$2=""),"",$G$2-D15)</f>
        <v/>
      </c>
      <c r="F15" s="56">
        <f>IF(OR(E15="",$H$2=""),"",E15/$H$2)</f>
        <v/>
      </c>
    </row>
    <row r="18" ht="15" customHeight="1" s="39">
      <c r="A18" s="47" t="inlineStr">
        <is>
          <t>LÉGENDE</t>
        </is>
      </c>
    </row>
    <row r="19" ht="15" customHeight="1" s="39">
      <c r="A19" s="48" t="inlineStr">
        <is>
          <t>• Texte bleu : Donnée à saisir manuellement</t>
        </is>
      </c>
    </row>
    <row r="20" ht="15" customHeight="1" s="39">
      <c r="A20" s="48" t="inlineStr">
        <is>
          <t>• Texte noir : Formule calculée automatiquement</t>
        </is>
      </c>
    </row>
    <row r="21" ht="15" customHeight="1" s="39">
      <c r="A21" s="48" t="inlineStr">
        <is>
          <t>• Fond jaune : Cellule obligatoire à renseigner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1" showRowColHeaders="1" showZeros="1" rightToLeft="0" tabSelected="0" showOutlineSymbols="1" defaultGridColor="1" view="normal" topLeftCell="A1" colorId="64" zoomScale="163" zoomScaleNormal="163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4" activeCellId="0" sqref="A4"/>
    </sheetView>
  </sheetViews>
  <sheetFormatPr baseColWidth="8" defaultColWidth="8.66796875" defaultRowHeight="15" zeroHeight="0" outlineLevelRow="0"/>
  <cols>
    <col width="28" customWidth="1" style="38" min="1" max="1"/>
    <col width="18" customWidth="1" style="38" min="2" max="2"/>
    <col width="16" customWidth="1" style="38" min="3" max="4"/>
    <col width="18" customWidth="1" style="38" min="5" max="5"/>
    <col width="16" customWidth="1" style="38" min="6" max="6"/>
    <col width="14" customWidth="1" style="38" min="7" max="8"/>
  </cols>
  <sheetData>
    <row r="1" ht="25.5" customHeight="1" s="39">
      <c r="A1" s="40" t="inlineStr">
        <is>
          <t>MOUVEMENTS — Holding 1</t>
        </is>
      </c>
      <c r="G1" s="54" t="inlineStr">
        <is>
          <t>Date fin période</t>
        </is>
      </c>
      <c r="H1" s="54" t="inlineStr">
        <is>
          <t>Nb jours période</t>
        </is>
      </c>
    </row>
    <row r="2" ht="27.75" customHeight="1" s="39">
      <c r="A2" s="51" t="inlineStr">
        <is>
          <t>ℹ Un mouvement par ligne. Retraits en négatif (ex: -2320000), versements en positif. Les colonnes E et F sont calculées automatiquement pour la méthode Modified Dietz.</t>
        </is>
      </c>
      <c r="G2" s="52" t="n"/>
      <c r="H2" s="50" t="n"/>
    </row>
    <row r="3" ht="37.5" customHeight="1" s="39">
      <c r="A3" s="41" t="inlineStr">
        <is>
          <t>Contrat / Poche</t>
        </is>
      </c>
      <c r="B3" s="41" t="inlineStr">
        <is>
          <t>Type
(Retrait / Versement)</t>
        </is>
      </c>
      <c r="C3" s="41" t="inlineStr">
        <is>
          <t>Montant (€)</t>
        </is>
      </c>
      <c r="D3" s="41" t="inlineStr">
        <is>
          <t>Date exacte</t>
        </is>
      </c>
      <c r="E3" s="41" t="inlineStr">
        <is>
          <t>Nb jours restants
(calculé auto)</t>
        </is>
      </c>
      <c r="F3" s="41" t="inlineStr">
        <is>
          <t>Poids W_i
(calculé auto)</t>
        </is>
      </c>
    </row>
    <row r="4" ht="21.75" customHeight="1" s="39">
      <c r="A4" s="42" t="n"/>
      <c r="B4" s="49" t="n"/>
      <c r="C4" s="43" t="n"/>
      <c r="D4" s="52" t="n"/>
      <c r="E4" s="55">
        <f>IF(OR(D4="",$G$2=""),"",$G$2-D4)</f>
        <v/>
      </c>
      <c r="F4" s="56">
        <f>IF(OR(E4="",$H$2=""),"",E4/$H$2)</f>
        <v/>
      </c>
    </row>
    <row r="5" ht="21.75" customHeight="1" s="39">
      <c r="A5" s="42" t="n"/>
      <c r="B5" s="49" t="n"/>
      <c r="C5" s="43" t="n"/>
      <c r="D5" s="52" t="n"/>
      <c r="E5" s="55">
        <f>IF(OR(D5="",$G$2=""),"",$G$2-D5)</f>
        <v/>
      </c>
      <c r="F5" s="56">
        <f>IF(OR(E5="",$H$2=""),"",E5/$H$2)</f>
        <v/>
      </c>
    </row>
    <row r="6" ht="21.75" customHeight="1" s="39">
      <c r="A6" s="42" t="n"/>
      <c r="B6" s="49" t="n"/>
      <c r="C6" s="43" t="n"/>
      <c r="D6" s="52" t="n"/>
      <c r="E6" s="55">
        <f>IF(OR(D6="",$G$2=""),"",$G$2-D6)</f>
        <v/>
      </c>
      <c r="F6" s="56">
        <f>IF(OR(E6="",$H$2=""),"",E6/$H$2)</f>
        <v/>
      </c>
    </row>
    <row r="7" ht="21.75" customHeight="1" s="39">
      <c r="A7" s="42" t="n"/>
      <c r="B7" s="49" t="n"/>
      <c r="C7" s="43" t="n"/>
      <c r="D7" s="52" t="n"/>
      <c r="E7" s="55">
        <f>IF(OR(D7="",$G$2=""),"",$G$2-D7)</f>
        <v/>
      </c>
      <c r="F7" s="56">
        <f>IF(OR(E7="",$H$2=""),"",E7/$H$2)</f>
        <v/>
      </c>
    </row>
    <row r="8" ht="21.75" customHeight="1" s="39">
      <c r="A8" s="42" t="n"/>
      <c r="B8" s="49" t="n"/>
      <c r="C8" s="43" t="n"/>
      <c r="D8" s="52" t="n"/>
      <c r="E8" s="55">
        <f>IF(OR(D8="",$G$2=""),"",$G$2-D8)</f>
        <v/>
      </c>
      <c r="F8" s="56">
        <f>IF(OR(E8="",$H$2=""),"",E8/$H$2)</f>
        <v/>
      </c>
    </row>
    <row r="9" ht="21.75" customHeight="1" s="39">
      <c r="A9" s="42" t="n"/>
      <c r="B9" s="49" t="n"/>
      <c r="C9" s="43" t="n"/>
      <c r="D9" s="52" t="n"/>
      <c r="E9" s="55">
        <f>IF(OR(D9="",$G$2=""),"",$G$2-D9)</f>
        <v/>
      </c>
      <c r="F9" s="56">
        <f>IF(OR(E9="",$H$2=""),"",E9/$H$2)</f>
        <v/>
      </c>
    </row>
    <row r="10" ht="21.75" customHeight="1" s="39">
      <c r="A10" s="42" t="n"/>
      <c r="B10" s="49" t="n"/>
      <c r="C10" s="43" t="n"/>
      <c r="D10" s="52" t="n"/>
      <c r="E10" s="55">
        <f>IF(OR(D10="",$G$2=""),"",$G$2-D10)</f>
        <v/>
      </c>
      <c r="F10" s="56">
        <f>IF(OR(E10="",$H$2=""),"",E10/$H$2)</f>
        <v/>
      </c>
    </row>
    <row r="11" ht="21.75" customHeight="1" s="39">
      <c r="A11" s="42" t="n"/>
      <c r="B11" s="49" t="n"/>
      <c r="C11" s="43" t="n"/>
      <c r="D11" s="52" t="n"/>
      <c r="E11" s="55">
        <f>IF(OR(D11="",$G$2=""),"",$G$2-D11)</f>
        <v/>
      </c>
      <c r="F11" s="56">
        <f>IF(OR(E11="",$H$2=""),"",E11/$H$2)</f>
        <v/>
      </c>
    </row>
    <row r="12" ht="21.75" customHeight="1" s="39">
      <c r="A12" s="42" t="n"/>
      <c r="B12" s="49" t="n"/>
      <c r="C12" s="43" t="n"/>
      <c r="D12" s="52" t="n"/>
      <c r="E12" s="55">
        <f>IF(OR(D12="",$G$2=""),"",$G$2-D12)</f>
        <v/>
      </c>
      <c r="F12" s="56">
        <f>IF(OR(E12="",$H$2=""),"",E12/$H$2)</f>
        <v/>
      </c>
    </row>
    <row r="13" ht="21.75" customHeight="1" s="39">
      <c r="A13" s="42" t="n"/>
      <c r="B13" s="49" t="n"/>
      <c r="C13" s="43" t="n"/>
      <c r="D13" s="52" t="n"/>
      <c r="E13" s="55">
        <f>IF(OR(D13="",$G$2=""),"",$G$2-D13)</f>
        <v/>
      </c>
      <c r="F13" s="56">
        <f>IF(OR(E13="",$H$2=""),"",E13/$H$2)</f>
        <v/>
      </c>
    </row>
    <row r="14" ht="21.75" customHeight="1" s="39">
      <c r="A14" s="42" t="n"/>
      <c r="B14" s="49" t="n"/>
      <c r="C14" s="43" t="n"/>
      <c r="D14" s="52" t="n"/>
      <c r="E14" s="55">
        <f>IF(OR(D14="",$G$2=""),"",$G$2-D14)</f>
        <v/>
      </c>
      <c r="F14" s="56">
        <f>IF(OR(E14="",$H$2=""),"",E14/$H$2)</f>
        <v/>
      </c>
    </row>
    <row r="15" ht="21.75" customHeight="1" s="39">
      <c r="A15" s="42" t="n"/>
      <c r="B15" s="49" t="n"/>
      <c r="C15" s="43" t="n"/>
      <c r="D15" s="52" t="n"/>
      <c r="E15" s="55">
        <f>IF(OR(D15="",$G$2=""),"",$G$2-D15)</f>
        <v/>
      </c>
      <c r="F15" s="56">
        <f>IF(OR(E15="",$H$2=""),"",E15/$H$2)</f>
        <v/>
      </c>
    </row>
    <row r="18" ht="15" customHeight="1" s="39">
      <c r="A18" s="47" t="inlineStr">
        <is>
          <t>LÉGENDE</t>
        </is>
      </c>
    </row>
    <row r="19" ht="15" customHeight="1" s="39">
      <c r="A19" s="48" t="inlineStr">
        <is>
          <t>• Texte bleu : Donnée à saisir manuellement</t>
        </is>
      </c>
    </row>
    <row r="20" ht="15" customHeight="1" s="39">
      <c r="A20" s="48" t="inlineStr">
        <is>
          <t>• Texte noir : Formule calculée automatiquement</t>
        </is>
      </c>
    </row>
    <row r="21" ht="15" customHeight="1" s="39">
      <c r="A21" s="48" t="inlineStr">
        <is>
          <t>• Fond jaune : Cellule obligatoire à renseigner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6796875" defaultRowHeight="15" zeroHeight="0" outlineLevelRow="0"/>
  <cols>
    <col width="28" customWidth="1" style="38" min="1" max="1"/>
    <col width="18" customWidth="1" style="38" min="2" max="2"/>
    <col width="16" customWidth="1" style="38" min="3" max="4"/>
    <col width="18" customWidth="1" style="38" min="5" max="5"/>
    <col width="16" customWidth="1" style="38" min="6" max="6"/>
    <col width="14" customWidth="1" style="38" min="7" max="8"/>
  </cols>
  <sheetData>
    <row r="1" ht="25.5" customHeight="1" s="39">
      <c r="A1" s="40" t="inlineStr">
        <is>
          <t>MOUVEMENTS — Holding 2</t>
        </is>
      </c>
      <c r="G1" s="54" t="inlineStr">
        <is>
          <t>Date fin période</t>
        </is>
      </c>
      <c r="H1" s="54" t="inlineStr">
        <is>
          <t>Nb jours période</t>
        </is>
      </c>
    </row>
    <row r="2" ht="27.75" customHeight="1" s="39">
      <c r="A2" s="51" t="inlineStr">
        <is>
          <t>ℹ Un mouvement par ligne. Retraits en négatif (ex: -2320000), versements en positif. Les colonnes E et F sont calculées automatiquement pour la méthode Modified Dietz.</t>
        </is>
      </c>
      <c r="G2" s="52" t="n"/>
      <c r="H2" s="50" t="n"/>
    </row>
    <row r="3" ht="37.5" customHeight="1" s="39">
      <c r="A3" s="41" t="inlineStr">
        <is>
          <t>Contrat / Poche</t>
        </is>
      </c>
      <c r="B3" s="41" t="inlineStr">
        <is>
          <t>Type
(Retrait / Versement)</t>
        </is>
      </c>
      <c r="C3" s="41" t="inlineStr">
        <is>
          <t>Montant (€)</t>
        </is>
      </c>
      <c r="D3" s="41" t="inlineStr">
        <is>
          <t>Date exacte</t>
        </is>
      </c>
      <c r="E3" s="41" t="inlineStr">
        <is>
          <t>Nb jours restants
(calculé auto)</t>
        </is>
      </c>
      <c r="F3" s="41" t="inlineStr">
        <is>
          <t>Poids W_i
(calculé auto)</t>
        </is>
      </c>
    </row>
    <row r="4" ht="21.75" customHeight="1" s="39">
      <c r="A4" s="42" t="n"/>
      <c r="B4" s="49" t="n"/>
      <c r="C4" s="43" t="n"/>
      <c r="D4" s="52" t="n"/>
      <c r="E4" s="55">
        <f>IF(OR(D4="",$G$2=""),"",$G$2-D4)</f>
        <v/>
      </c>
      <c r="F4" s="56">
        <f>IF(OR(E4="",$H$2=""),"",E4/$H$2)</f>
        <v/>
      </c>
    </row>
    <row r="5" ht="21.75" customHeight="1" s="39">
      <c r="A5" s="42" t="n"/>
      <c r="B5" s="49" t="n"/>
      <c r="C5" s="43" t="n"/>
      <c r="D5" s="52" t="n"/>
      <c r="E5" s="55">
        <f>IF(OR(D5="",$G$2=""),"",$G$2-D5)</f>
        <v/>
      </c>
      <c r="F5" s="56">
        <f>IF(OR(E5="",$H$2=""),"",E5/$H$2)</f>
        <v/>
      </c>
    </row>
    <row r="6" ht="21.75" customHeight="1" s="39">
      <c r="A6" s="42" t="n"/>
      <c r="B6" s="49" t="n"/>
      <c r="C6" s="43" t="n"/>
      <c r="D6" s="52" t="n"/>
      <c r="E6" s="55">
        <f>IF(OR(D6="",$G$2=""),"",$G$2-D6)</f>
        <v/>
      </c>
      <c r="F6" s="56">
        <f>IF(OR(E6="",$H$2=""),"",E6/$H$2)</f>
        <v/>
      </c>
    </row>
    <row r="7" ht="21.75" customHeight="1" s="39">
      <c r="A7" s="42" t="n"/>
      <c r="B7" s="49" t="n"/>
      <c r="C7" s="43" t="n"/>
      <c r="D7" s="52" t="n"/>
      <c r="E7" s="55">
        <f>IF(OR(D7="",$G$2=""),"",$G$2-D7)</f>
        <v/>
      </c>
      <c r="F7" s="56">
        <f>IF(OR(E7="",$H$2=""),"",E7/$H$2)</f>
        <v/>
      </c>
    </row>
    <row r="8" ht="21.75" customHeight="1" s="39">
      <c r="A8" s="42" t="n"/>
      <c r="B8" s="49" t="n"/>
      <c r="C8" s="43" t="n"/>
      <c r="D8" s="52" t="n"/>
      <c r="E8" s="55">
        <f>IF(OR(D8="",$G$2=""),"",$G$2-D8)</f>
        <v/>
      </c>
      <c r="F8" s="56">
        <f>IF(OR(E8="",$H$2=""),"",E8/$H$2)</f>
        <v/>
      </c>
    </row>
    <row r="9" ht="21.75" customHeight="1" s="39">
      <c r="A9" s="42" t="n"/>
      <c r="B9" s="49" t="n"/>
      <c r="C9" s="43" t="n"/>
      <c r="D9" s="52" t="n"/>
      <c r="E9" s="55">
        <f>IF(OR(D9="",$G$2=""),"",$G$2-D9)</f>
        <v/>
      </c>
      <c r="F9" s="56">
        <f>IF(OR(E9="",$H$2=""),"",E9/$H$2)</f>
        <v/>
      </c>
    </row>
    <row r="10" ht="21.75" customHeight="1" s="39">
      <c r="A10" s="42" t="n"/>
      <c r="B10" s="49" t="n"/>
      <c r="C10" s="43" t="n"/>
      <c r="D10" s="52" t="n"/>
      <c r="E10" s="55">
        <f>IF(OR(D10="",$G$2=""),"",$G$2-D10)</f>
        <v/>
      </c>
      <c r="F10" s="56">
        <f>IF(OR(E10="",$H$2=""),"",E10/$H$2)</f>
        <v/>
      </c>
    </row>
    <row r="11" ht="21.75" customHeight="1" s="39">
      <c r="A11" s="42" t="n"/>
      <c r="B11" s="49" t="n"/>
      <c r="C11" s="43" t="n"/>
      <c r="D11" s="52" t="n"/>
      <c r="E11" s="55">
        <f>IF(OR(D11="",$G$2=""),"",$G$2-D11)</f>
        <v/>
      </c>
      <c r="F11" s="56">
        <f>IF(OR(E11="",$H$2=""),"",E11/$H$2)</f>
        <v/>
      </c>
    </row>
    <row r="12" ht="21.75" customHeight="1" s="39">
      <c r="A12" s="42" t="n"/>
      <c r="B12" s="49" t="n"/>
      <c r="C12" s="43" t="n"/>
      <c r="D12" s="52" t="n"/>
      <c r="E12" s="55">
        <f>IF(OR(D12="",$G$2=""),"",$G$2-D12)</f>
        <v/>
      </c>
      <c r="F12" s="56">
        <f>IF(OR(E12="",$H$2=""),"",E12/$H$2)</f>
        <v/>
      </c>
    </row>
    <row r="13" ht="21.75" customHeight="1" s="39">
      <c r="A13" s="42" t="n"/>
      <c r="B13" s="49" t="n"/>
      <c r="C13" s="43" t="n"/>
      <c r="D13" s="52" t="n"/>
      <c r="E13" s="55">
        <f>IF(OR(D13="",$G$2=""),"",$G$2-D13)</f>
        <v/>
      </c>
      <c r="F13" s="56">
        <f>IF(OR(E13="",$H$2=""),"",E13/$H$2)</f>
        <v/>
      </c>
    </row>
    <row r="14" ht="21.75" customHeight="1" s="39">
      <c r="A14" s="42" t="n"/>
      <c r="B14" s="49" t="n"/>
      <c r="C14" s="43" t="n"/>
      <c r="D14" s="52" t="n"/>
      <c r="E14" s="55">
        <f>IF(OR(D14="",$G$2=""),"",$G$2-D14)</f>
        <v/>
      </c>
      <c r="F14" s="56">
        <f>IF(OR(E14="",$H$2=""),"",E14/$H$2)</f>
        <v/>
      </c>
    </row>
    <row r="15" ht="21.75" customHeight="1" s="39">
      <c r="A15" s="42" t="n"/>
      <c r="B15" s="49" t="n"/>
      <c r="C15" s="43" t="n"/>
      <c r="D15" s="52" t="n"/>
      <c r="E15" s="55">
        <f>IF(OR(D15="",$G$2=""),"",$G$2-D15)</f>
        <v/>
      </c>
      <c r="F15" s="56">
        <f>IF(OR(E15="",$H$2=""),"",E15/$H$2)</f>
        <v/>
      </c>
    </row>
    <row r="18" ht="15" customHeight="1" s="39">
      <c r="A18" s="47" t="inlineStr">
        <is>
          <t>LÉGENDE</t>
        </is>
      </c>
    </row>
    <row r="19" ht="15" customHeight="1" s="39">
      <c r="A19" s="48" t="inlineStr">
        <is>
          <t>• Texte bleu : Donnée à saisir manuellement</t>
        </is>
      </c>
    </row>
    <row r="20" ht="15" customHeight="1" s="39">
      <c r="A20" s="48" t="inlineStr">
        <is>
          <t>• Texte noir : Formule calculée automatiquement</t>
        </is>
      </c>
    </row>
    <row r="21" ht="15" customHeight="1" s="39">
      <c r="A21" s="48" t="inlineStr">
        <is>
          <t>• Fond jaune : Cellule obligatoire à renseigner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6796875" defaultRowHeight="15" zeroHeight="0" outlineLevelRow="0"/>
  <cols>
    <col width="26" customWidth="1" style="38" min="1" max="1"/>
    <col width="18" customWidth="1" style="38" min="2" max="2"/>
    <col width="22" customWidth="1" style="38" min="3" max="3"/>
    <col width="14" customWidth="1" style="38" min="4" max="8"/>
    <col width="8" customWidth="1" style="38" min="9" max="9"/>
    <col width="14" customWidth="1" style="38" min="10" max="10"/>
    <col width="22" customWidth="1" style="38" min="11" max="11"/>
    <col width="12" customWidth="1" style="39" min="12" max="12"/>
  </cols>
  <sheetData>
    <row r="1" ht="25.5" customHeight="1" s="39">
      <c r="A1" s="40" t="inlineStr">
        <is>
          <t>FINANCIER NON COTÉ — PP</t>
        </is>
      </c>
    </row>
    <row r="3" ht="37.5" customHeight="1" s="39">
      <c r="A3" s="41" t="inlineStr">
        <is>
          <t>Nom du fonds / Véhicule</t>
        </is>
      </c>
      <c r="B3" s="41" t="inlineStr">
        <is>
          <t>Gestionnaire</t>
        </is>
      </c>
      <c r="C3" s="41" t="inlineStr">
        <is>
          <t>Stratégie
(LBO/Co-invest/Evergreen…)</t>
        </is>
      </c>
      <c r="D3" s="41" t="inlineStr">
        <is>
          <t>Cible MOIC</t>
        </is>
      </c>
      <c r="E3" s="41" t="inlineStr">
        <is>
          <t>Capital engagé (€)</t>
        </is>
      </c>
      <c r="F3" s="41" t="inlineStr">
        <is>
          <t>Capital appelé (€)</t>
        </is>
      </c>
      <c r="G3" s="41" t="inlineStr">
        <is>
          <t>Non appelé réel (€)
(calculé auto)</t>
        </is>
      </c>
      <c r="H3" s="41" t="inlineStr">
        <is>
          <t>Non appelé estimé (€)</t>
        </is>
      </c>
      <c r="I3" s="41" t="inlineStr">
        <is>
          <t>MOIC réalisé</t>
        </is>
      </c>
      <c r="J3" s="41" t="inlineStr">
        <is>
          <t>Valeur liquidative (€)
(vide = placeholder)</t>
        </is>
      </c>
      <c r="K3" s="41" t="inlineStr">
        <is>
          <t>Classe Rhétorès
(PE / Dette privée / Immo non coté / Infra)</t>
        </is>
      </c>
      <c r="L3" s="62" t="inlineStr">
        <is>
          <t>TRI (%)
(fourni assureur / GP,
ex : 12,5)</t>
        </is>
      </c>
    </row>
    <row r="4" ht="21.75" customHeight="1" s="39">
      <c r="A4" s="42" t="n"/>
      <c r="B4" s="42" t="n"/>
      <c r="C4" s="42" t="n"/>
      <c r="D4" s="57" t="n"/>
      <c r="E4" s="43" t="n"/>
      <c r="F4" s="43" t="n"/>
      <c r="G4" s="58">
        <f>IF(E4="","",E4-F4)</f>
        <v/>
      </c>
      <c r="H4" s="43" t="n"/>
      <c r="I4" s="43" t="n"/>
      <c r="J4" s="43" t="n"/>
      <c r="K4" s="42" t="n"/>
      <c r="L4" s="63" t="n"/>
    </row>
    <row r="5" ht="21.75" customHeight="1" s="39">
      <c r="A5" s="42" t="n"/>
      <c r="B5" s="42" t="n"/>
      <c r="C5" s="42" t="n"/>
      <c r="D5" s="57" t="n"/>
      <c r="E5" s="43" t="n"/>
      <c r="F5" s="43" t="n"/>
      <c r="G5" s="58">
        <f>IF(E5="","",E5-F5)</f>
        <v/>
      </c>
      <c r="H5" s="43" t="n"/>
      <c r="I5" s="43" t="n"/>
      <c r="J5" s="43" t="n"/>
      <c r="K5" s="42" t="n"/>
      <c r="L5" s="63" t="n"/>
    </row>
    <row r="6" ht="21.75" customHeight="1" s="39">
      <c r="A6" s="42" t="n"/>
      <c r="B6" s="42" t="n"/>
      <c r="C6" s="42" t="n"/>
      <c r="D6" s="57" t="n"/>
      <c r="E6" s="43" t="n"/>
      <c r="F6" s="43" t="n"/>
      <c r="G6" s="58">
        <f>IF(E6="","",E6-F6)</f>
        <v/>
      </c>
      <c r="H6" s="43" t="n"/>
      <c r="I6" s="43" t="n"/>
      <c r="J6" s="43" t="n"/>
      <c r="K6" s="42" t="n"/>
      <c r="L6" s="63" t="n"/>
    </row>
    <row r="7" ht="21.75" customHeight="1" s="39">
      <c r="A7" s="42" t="n"/>
      <c r="B7" s="42" t="n"/>
      <c r="C7" s="42" t="n"/>
      <c r="D7" s="57" t="n"/>
      <c r="E7" s="43" t="n"/>
      <c r="F7" s="43" t="n"/>
      <c r="G7" s="58">
        <f>IF(E7="","",E7-F7)</f>
        <v/>
      </c>
      <c r="H7" s="43" t="n"/>
      <c r="I7" s="43" t="n"/>
      <c r="J7" s="43" t="n"/>
      <c r="K7" s="42" t="n"/>
      <c r="L7" s="63" t="n"/>
    </row>
    <row r="8" ht="21.75" customHeight="1" s="39">
      <c r="A8" s="42" t="n"/>
      <c r="B8" s="42" t="n"/>
      <c r="C8" s="42" t="n"/>
      <c r="D8" s="57" t="n"/>
      <c r="E8" s="43" t="n"/>
      <c r="F8" s="43" t="n"/>
      <c r="G8" s="58">
        <f>IF(E8="","",E8-F8)</f>
        <v/>
      </c>
      <c r="H8" s="43" t="n"/>
      <c r="I8" s="43" t="n"/>
      <c r="J8" s="43" t="n"/>
      <c r="K8" s="42" t="n"/>
      <c r="L8" s="63" t="n"/>
    </row>
    <row r="9" ht="21.75" customHeight="1" s="39">
      <c r="A9" s="42" t="n"/>
      <c r="B9" s="42" t="n"/>
      <c r="C9" s="42" t="n"/>
      <c r="D9" s="57" t="n"/>
      <c r="E9" s="43" t="n"/>
      <c r="F9" s="43" t="n"/>
      <c r="G9" s="58">
        <f>IF(E9="","",E9-F9)</f>
        <v/>
      </c>
      <c r="H9" s="43" t="n"/>
      <c r="I9" s="43" t="n"/>
      <c r="J9" s="43" t="n"/>
      <c r="K9" s="42" t="n"/>
      <c r="L9" s="63" t="n"/>
    </row>
    <row r="10" ht="21.75" customHeight="1" s="39">
      <c r="A10" s="42" t="n"/>
      <c r="B10" s="42" t="n"/>
      <c r="C10" s="42" t="n"/>
      <c r="D10" s="57" t="n"/>
      <c r="E10" s="43" t="n"/>
      <c r="F10" s="43" t="n"/>
      <c r="G10" s="58">
        <f>IF(E10="","",E10-F10)</f>
        <v/>
      </c>
      <c r="H10" s="43" t="n"/>
      <c r="I10" s="43" t="n"/>
      <c r="J10" s="43" t="n"/>
      <c r="K10" s="42" t="n"/>
      <c r="L10" s="63" t="n"/>
    </row>
    <row r="11" ht="21.75" customHeight="1" s="39">
      <c r="A11" s="42" t="n"/>
      <c r="B11" s="42" t="n"/>
      <c r="C11" s="42" t="n"/>
      <c r="D11" s="57" t="n"/>
      <c r="E11" s="43" t="n"/>
      <c r="F11" s="43" t="n"/>
      <c r="G11" s="58">
        <f>IF(E11="","",E11-F11)</f>
        <v/>
      </c>
      <c r="H11" s="43" t="n"/>
      <c r="I11" s="43" t="n"/>
      <c r="J11" s="43" t="n"/>
      <c r="K11" s="42" t="n"/>
      <c r="L11" s="63" t="n"/>
    </row>
    <row r="12" ht="21.75" customHeight="1" s="39">
      <c r="A12" s="42" t="n"/>
      <c r="B12" s="42" t="n"/>
      <c r="C12" s="42" t="n"/>
      <c r="D12" s="42" t="n"/>
      <c r="E12" s="43" t="n"/>
      <c r="F12" s="43" t="n"/>
      <c r="G12" s="59" t="n"/>
      <c r="H12" s="43" t="n"/>
      <c r="I12" s="43" t="n"/>
      <c r="J12" s="43" t="n"/>
      <c r="K12" s="42" t="n"/>
      <c r="L12" s="63" t="n"/>
    </row>
    <row r="13" ht="21.75" customHeight="1" s="39">
      <c r="A13" s="42" t="n"/>
      <c r="B13" s="42" t="n"/>
      <c r="C13" s="42" t="n"/>
      <c r="D13" s="42" t="n"/>
      <c r="E13" s="43" t="n"/>
      <c r="F13" s="43" t="n"/>
      <c r="G13" s="59" t="n"/>
      <c r="H13" s="43" t="n"/>
      <c r="I13" s="43" t="n"/>
      <c r="J13" s="43" t="n"/>
      <c r="K13" s="42" t="n"/>
      <c r="L13" s="63" t="n"/>
    </row>
    <row r="14" ht="15" customHeight="1" s="39">
      <c r="A14" s="47" t="inlineStr">
        <is>
          <t>ℹ Classe Rhétorès : saisir parmi Private Equity / Dette privée / Immobilier non coté / Infrastructures. Utilisé pour le Bloc 03 — allocation consolidée.</t>
        </is>
      </c>
    </row>
    <row r="15" ht="15" customHeight="1" s="39">
      <c r="A15" s="48" t="inlineStr">
        <is>
          <t>• Texte bleu : Donnée à saisir manuellement</t>
        </is>
      </c>
    </row>
    <row r="16" ht="15" customHeight="1" s="39">
      <c r="A16" s="48" t="inlineStr">
        <is>
          <t>• Texte noir : Formule calculée automatiquement</t>
        </is>
      </c>
    </row>
    <row r="17" ht="15" customHeight="1" s="39">
      <c r="A17" s="48" t="inlineStr">
        <is>
          <t>• Fond jaune : Cellule obligatoire à renseigner</t>
        </is>
      </c>
    </row>
  </sheetData>
  <mergeCells count="2">
    <mergeCell ref="A14:L14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0" customWidth="1" style="39" min="1" max="1"/>
    <col width="20" customWidth="1" style="39" min="2" max="2"/>
    <col width="30" customWidth="1" style="39" min="3" max="3"/>
    <col width="18" customWidth="1" style="39" min="4" max="4"/>
  </cols>
  <sheetData>
    <row r="1" ht="25.5" customHeight="1" s="39">
      <c r="A1" s="64" t="inlineStr">
        <is>
          <t>FLUX NON COTÉ — PP</t>
        </is>
      </c>
    </row>
    <row r="3" ht="48" customHeight="1" s="39">
      <c r="A3" s="62" t="inlineStr">
        <is>
          <t>Nom du fonds / Véhicule
(= libellé exact de l'onglet Non coté)</t>
        </is>
      </c>
      <c r="B3" s="62" t="inlineStr">
        <is>
          <t>Date
(DD/MM/YYYY ; date future
autorisée pour les types « prévu »)</t>
        </is>
      </c>
      <c r="C3" s="62" t="inlineStr">
        <is>
          <t>Type
(Appel / Distribution / Valorisation /
Appel prévu / Distribution prévue)</t>
        </is>
      </c>
      <c r="D3" s="62" t="inlineStr">
        <is>
          <t>Montant (€)
(toujours positif ; le sens
est porté par le Type)</t>
        </is>
      </c>
    </row>
    <row r="4" ht="21.75" customHeight="1" s="39">
      <c r="A4" s="65" t="n"/>
      <c r="B4" s="66" t="n"/>
      <c r="C4" s="67" t="n"/>
      <c r="D4" s="68" t="n"/>
    </row>
    <row r="5" ht="21.75" customHeight="1" s="39">
      <c r="A5" s="65" t="n"/>
      <c r="B5" s="66" t="n"/>
      <c r="C5" s="67" t="n"/>
      <c r="D5" s="68" t="n"/>
    </row>
    <row r="6" ht="21.75" customHeight="1" s="39">
      <c r="A6" s="65" t="n"/>
      <c r="B6" s="66" t="n"/>
      <c r="C6" s="67" t="n"/>
      <c r="D6" s="68" t="n"/>
    </row>
    <row r="7" ht="21.75" customHeight="1" s="39">
      <c r="A7" s="65" t="n"/>
      <c r="B7" s="66" t="n"/>
      <c r="C7" s="67" t="n"/>
      <c r="D7" s="68" t="n"/>
    </row>
    <row r="8" ht="21.75" customHeight="1" s="39">
      <c r="A8" s="65" t="n"/>
      <c r="B8" s="66" t="n"/>
      <c r="C8" s="67" t="n"/>
      <c r="D8" s="68" t="n"/>
    </row>
    <row r="9" ht="21.75" customHeight="1" s="39">
      <c r="A9" s="65" t="n"/>
      <c r="B9" s="66" t="n"/>
      <c r="C9" s="67" t="n"/>
      <c r="D9" s="68" t="n"/>
    </row>
    <row r="10" ht="21.75" customHeight="1" s="39">
      <c r="A10" s="65" t="n"/>
      <c r="B10" s="66" t="n"/>
      <c r="C10" s="67" t="n"/>
      <c r="D10" s="68" t="n"/>
    </row>
    <row r="11" ht="21.75" customHeight="1" s="39">
      <c r="A11" s="65" t="n"/>
      <c r="B11" s="66" t="n"/>
      <c r="C11" s="67" t="n"/>
      <c r="D11" s="68" t="n"/>
    </row>
    <row r="12" ht="21.75" customHeight="1" s="39">
      <c r="A12" s="65" t="n"/>
      <c r="B12" s="66" t="n"/>
      <c r="C12" s="67" t="n"/>
      <c r="D12" s="68" t="n"/>
    </row>
    <row r="13" ht="21.75" customHeight="1" s="39">
      <c r="A13" s="65" t="n"/>
      <c r="B13" s="66" t="n"/>
      <c r="C13" s="67" t="n"/>
      <c r="D13" s="68" t="n"/>
    </row>
    <row r="14" ht="21.75" customHeight="1" s="39">
      <c r="A14" s="65" t="n"/>
      <c r="B14" s="66" t="n"/>
      <c r="C14" s="67" t="n"/>
      <c r="D14" s="68" t="n"/>
    </row>
    <row r="15" ht="21.75" customHeight="1" s="39">
      <c r="A15" s="65" t="n"/>
      <c r="B15" s="66" t="n"/>
      <c r="C15" s="67" t="n"/>
      <c r="D15" s="68" t="n"/>
    </row>
    <row r="16" ht="21.75" customHeight="1" s="39">
      <c r="A16" s="65" t="n"/>
      <c r="B16" s="66" t="n"/>
      <c r="C16" s="67" t="n"/>
      <c r="D16" s="68" t="n"/>
    </row>
    <row r="17" ht="21.75" customHeight="1" s="39">
      <c r="A17" s="65" t="n"/>
      <c r="B17" s="66" t="n"/>
      <c r="C17" s="67" t="n"/>
      <c r="D17" s="68" t="n"/>
    </row>
    <row r="18" ht="21.75" customHeight="1" s="39">
      <c r="A18" s="65" t="n"/>
      <c r="B18" s="66" t="n"/>
      <c r="C18" s="67" t="n"/>
      <c r="D18" s="68" t="n"/>
    </row>
    <row r="19" ht="21.75" customHeight="1" s="39">
      <c r="A19" s="65" t="n"/>
      <c r="B19" s="66" t="n"/>
      <c r="C19" s="67" t="n"/>
      <c r="D19" s="68" t="n"/>
    </row>
    <row r="20" ht="21.75" customHeight="1" s="39">
      <c r="A20" s="65" t="n"/>
      <c r="B20" s="66" t="n"/>
      <c r="C20" s="67" t="n"/>
      <c r="D20" s="68" t="n"/>
    </row>
    <row r="21" ht="21.75" customHeight="1" s="39">
      <c r="A21" s="65" t="n"/>
      <c r="B21" s="66" t="n"/>
      <c r="C21" s="67" t="n"/>
      <c r="D21" s="68" t="n"/>
    </row>
    <row r="22" ht="21.75" customHeight="1" s="39">
      <c r="A22" s="65" t="n"/>
      <c r="B22" s="66" t="n"/>
      <c r="C22" s="67" t="n"/>
      <c r="D22" s="68" t="n"/>
    </row>
    <row r="23" ht="21.75" customHeight="1" s="39">
      <c r="A23" s="65" t="n"/>
      <c r="B23" s="66" t="n"/>
      <c r="C23" s="67" t="n"/>
      <c r="D23" s="68" t="n"/>
    </row>
    <row r="24" ht="21.75" customHeight="1" s="39">
      <c r="A24" s="65" t="n"/>
      <c r="B24" s="66" t="n"/>
      <c r="C24" s="67" t="n"/>
      <c r="D24" s="68" t="n"/>
    </row>
    <row r="25" ht="21.75" customHeight="1" s="39">
      <c r="A25" s="65" t="n"/>
      <c r="B25" s="66" t="n"/>
      <c r="C25" s="67" t="n"/>
      <c r="D25" s="68" t="n"/>
    </row>
    <row r="26" ht="21.75" customHeight="1" s="39">
      <c r="A26" s="65" t="n"/>
      <c r="B26" s="66" t="n"/>
      <c r="C26" s="67" t="n"/>
      <c r="D26" s="68" t="n"/>
    </row>
    <row r="27" ht="21.75" customHeight="1" s="39">
      <c r="A27" s="65" t="n"/>
      <c r="B27" s="66" t="n"/>
      <c r="C27" s="67" t="n"/>
      <c r="D27" s="68" t="n"/>
    </row>
    <row r="28" ht="21.75" customHeight="1" s="39">
      <c r="A28" s="65" t="n"/>
      <c r="B28" s="66" t="n"/>
      <c r="C28" s="67" t="n"/>
      <c r="D28" s="68" t="n"/>
    </row>
    <row r="29" ht="21.75" customHeight="1" s="39">
      <c r="A29" s="65" t="n"/>
      <c r="B29" s="66" t="n"/>
      <c r="C29" s="67" t="n"/>
      <c r="D29" s="68" t="n"/>
    </row>
    <row r="30" ht="21.75" customHeight="1" s="39">
      <c r="A30" s="65" t="n"/>
      <c r="B30" s="66" t="n"/>
      <c r="C30" s="67" t="n"/>
      <c r="D30" s="68" t="n"/>
    </row>
    <row r="31" ht="21.75" customHeight="1" s="39">
      <c r="A31" s="65" t="n"/>
      <c r="B31" s="66" t="n"/>
      <c r="C31" s="67" t="n"/>
      <c r="D31" s="68" t="n"/>
    </row>
    <row r="32" ht="21.75" customHeight="1" s="39">
      <c r="A32" s="65" t="n"/>
      <c r="B32" s="66" t="n"/>
      <c r="C32" s="67" t="n"/>
      <c r="D32" s="68" t="n"/>
    </row>
    <row r="33" ht="21.75" customHeight="1" s="39">
      <c r="A33" s="65" t="n"/>
      <c r="B33" s="66" t="n"/>
      <c r="C33" s="67" t="n"/>
      <c r="D33" s="68" t="n"/>
    </row>
    <row r="35">
      <c r="A35" s="69" t="inlineStr">
        <is>
          <t>ℹ Un flux par ligne. « Valorisation » = NAV totale du fonds à la date (pas un delta). Les types « prévu » alimentent l'échéancier prévisionnel du reporting (jamais les KPIs).</t>
        </is>
      </c>
    </row>
    <row r="36">
      <c r="A36" s="69" t="inlineStr">
        <is>
          <t>• Texte bleu : Donnée à saisir manuellement</t>
        </is>
      </c>
    </row>
    <row r="37">
      <c r="A37" s="69" t="inlineStr">
        <is>
          <t>• Fond jaune : Cellule obligatoire à renseigner</t>
        </is>
      </c>
    </row>
  </sheetData>
  <mergeCells count="2">
    <mergeCell ref="A1:D1"/>
    <mergeCell ref="A35:D35"/>
  </mergeCells>
  <dataValidations count="1">
    <dataValidation sqref="C4:C33" showDropDown="0" showInputMessage="0" showErrorMessage="0" allowBlank="1" errorTitle="NC Flux" error="Type invalide" type="list">
      <formula1>"Appel,Distribution,Valorisation,Appel prévu,Distribution prévue"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1" showRowColHeaders="1" showZeros="1" rightToLeft="0" tabSelected="0" showOutlineSymbols="1" defaultGridColor="1" view="normal" topLeftCell="A1" colorId="64" zoomScale="140" zoomScaleNormal="14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3" activeCellId="0" sqref="A3"/>
    </sheetView>
  </sheetViews>
  <sheetFormatPr baseColWidth="8" defaultColWidth="8.66796875" defaultRowHeight="15" zeroHeight="0" outlineLevelRow="0"/>
  <cols>
    <col width="26" customWidth="1" style="38" min="1" max="1"/>
    <col width="18" customWidth="1" style="38" min="2" max="2"/>
    <col width="22" customWidth="1" style="38" min="3" max="3"/>
    <col width="14" customWidth="1" style="38" min="4" max="8"/>
    <col width="8" customWidth="1" style="38" min="9" max="9"/>
    <col width="14" customWidth="1" style="38" min="10" max="10"/>
    <col width="22" customWidth="1" style="38" min="11" max="11"/>
    <col width="12" customWidth="1" style="39" min="12" max="12"/>
  </cols>
  <sheetData>
    <row r="1" ht="25.5" customHeight="1" s="39">
      <c r="A1" s="40" t="inlineStr">
        <is>
          <t>FINANCIER NON COTÉ — Holding 1</t>
        </is>
      </c>
    </row>
    <row r="3" ht="37.5" customHeight="1" s="39">
      <c r="A3" s="41" t="inlineStr">
        <is>
          <t>Nom du fonds / Véhicule</t>
        </is>
      </c>
      <c r="B3" s="41" t="inlineStr">
        <is>
          <t>Gestionnaire</t>
        </is>
      </c>
      <c r="C3" s="41" t="inlineStr">
        <is>
          <t>Stratégie
(LBO/Co-invest/Evergreen…)</t>
        </is>
      </c>
      <c r="D3" s="41" t="inlineStr">
        <is>
          <t>Cible MOIC</t>
        </is>
      </c>
      <c r="E3" s="41" t="inlineStr">
        <is>
          <t>Capital engagé (€)</t>
        </is>
      </c>
      <c r="F3" s="41" t="inlineStr">
        <is>
          <t>Capital appelé (€)</t>
        </is>
      </c>
      <c r="G3" s="41" t="inlineStr">
        <is>
          <t>Non appelé réel (€)
(calculé auto)</t>
        </is>
      </c>
      <c r="H3" s="41" t="inlineStr">
        <is>
          <t>Non appelé estimé (€)</t>
        </is>
      </c>
      <c r="I3" s="41" t="inlineStr">
        <is>
          <t>MOIC réalisé</t>
        </is>
      </c>
      <c r="J3" s="41" t="inlineStr">
        <is>
          <t>Valeur liquidative (€)
(vide = placeholder)</t>
        </is>
      </c>
      <c r="K3" s="41" t="inlineStr">
        <is>
          <t>Classe Rhétorès
(PE / Dette privée / Immo non coté / Infra)</t>
        </is>
      </c>
      <c r="L3" s="62" t="inlineStr">
        <is>
          <t>TRI (%)
(fourni assureur / GP,
ex : 12,5)</t>
        </is>
      </c>
    </row>
    <row r="4" ht="21.75" customHeight="1" s="39">
      <c r="A4" s="42" t="n"/>
      <c r="B4" s="42" t="n"/>
      <c r="C4" s="42" t="n"/>
      <c r="D4" s="57" t="n"/>
      <c r="E4" s="43" t="n"/>
      <c r="F4" s="43" t="n"/>
      <c r="G4" s="58">
        <f>IF(E4="","",E4-F4)</f>
        <v/>
      </c>
      <c r="H4" s="43">
        <f>E4*80%-F4</f>
        <v/>
      </c>
      <c r="I4" s="43" t="n"/>
      <c r="J4" s="43" t="n"/>
      <c r="K4" s="42" t="n"/>
      <c r="L4" s="63" t="n"/>
    </row>
    <row r="5" ht="21.75" customHeight="1" s="39">
      <c r="A5" s="42" t="n"/>
      <c r="B5" s="42" t="n"/>
      <c r="C5" s="42" t="n"/>
      <c r="D5" s="57" t="n"/>
      <c r="E5" s="43" t="n"/>
      <c r="F5" s="43" t="n"/>
      <c r="G5" s="58">
        <f>IF(E5="","",E5-F5)</f>
        <v/>
      </c>
      <c r="H5" s="43" t="n"/>
      <c r="I5" s="43" t="n"/>
      <c r="J5" s="43" t="n"/>
      <c r="K5" s="42" t="n"/>
      <c r="L5" s="63" t="n"/>
    </row>
    <row r="6" ht="21.75" customHeight="1" s="39">
      <c r="A6" s="42" t="n"/>
      <c r="B6" s="42" t="n"/>
      <c r="C6" s="42" t="n"/>
      <c r="D6" s="57" t="n"/>
      <c r="E6" s="43" t="n"/>
      <c r="F6" s="43" t="n"/>
      <c r="G6" s="58">
        <f>IF(E6="","",E6-F6)</f>
        <v/>
      </c>
      <c r="H6" s="43" t="n"/>
      <c r="I6" s="43" t="n"/>
      <c r="J6" s="43" t="n"/>
      <c r="K6" s="42" t="n"/>
      <c r="L6" s="63" t="n"/>
    </row>
    <row r="7" ht="21.75" customHeight="1" s="39">
      <c r="A7" s="42" t="n"/>
      <c r="B7" s="42" t="n"/>
      <c r="C7" s="42" t="n"/>
      <c r="D7" s="57" t="n"/>
      <c r="E7" s="43" t="n"/>
      <c r="F7" s="43" t="n"/>
      <c r="G7" s="58">
        <f>IF(E7="","",E7-F7)</f>
        <v/>
      </c>
      <c r="H7" s="43">
        <f>E7*60%-F7</f>
        <v/>
      </c>
      <c r="I7" s="43" t="n"/>
      <c r="J7" s="43">
        <f>F7</f>
        <v/>
      </c>
      <c r="K7" s="42" t="n"/>
      <c r="L7" s="63" t="n"/>
    </row>
    <row r="8" ht="21.75" customHeight="1" s="39">
      <c r="A8" s="42" t="n"/>
      <c r="B8" s="42" t="n"/>
      <c r="C8" s="42" t="n"/>
      <c r="D8" s="57" t="n"/>
      <c r="E8" s="43" t="n"/>
      <c r="F8" s="43" t="n"/>
      <c r="G8" s="58">
        <f>IF(E8="","",E8-F8)</f>
        <v/>
      </c>
      <c r="H8" s="43" t="n"/>
      <c r="I8" s="43" t="n"/>
      <c r="J8" s="43">
        <f>F8</f>
        <v/>
      </c>
      <c r="K8" s="42" t="n"/>
      <c r="L8" s="63" t="n"/>
    </row>
    <row r="9" ht="21.75" customHeight="1" s="39">
      <c r="A9" s="42" t="n"/>
      <c r="B9" s="42" t="n"/>
      <c r="C9" s="42" t="n"/>
      <c r="D9" s="57" t="n"/>
      <c r="E9" s="43" t="n"/>
      <c r="F9" s="43" t="n"/>
      <c r="G9" s="58">
        <f>IF(E9="","",E9-F9)</f>
        <v/>
      </c>
      <c r="H9" s="43" t="n"/>
      <c r="I9" s="43" t="n"/>
      <c r="J9" s="43">
        <f>F9</f>
        <v/>
      </c>
      <c r="K9" s="42" t="n"/>
      <c r="L9" s="63" t="n"/>
    </row>
    <row r="10" ht="21.75" customHeight="1" s="39">
      <c r="A10" s="42" t="n"/>
      <c r="B10" s="42" t="n"/>
      <c r="C10" s="42" t="n"/>
      <c r="D10" s="57" t="n"/>
      <c r="E10" s="43" t="n"/>
      <c r="F10" s="43" t="n"/>
      <c r="G10" s="58">
        <f>IF(E10="","",E10-F10)</f>
        <v/>
      </c>
      <c r="H10" s="43" t="n"/>
      <c r="I10" s="43" t="n"/>
      <c r="J10" s="43">
        <f>F10</f>
        <v/>
      </c>
      <c r="K10" s="42" t="n"/>
      <c r="L10" s="63" t="n"/>
    </row>
    <row r="11" ht="21.75" customHeight="1" s="39">
      <c r="A11" s="42" t="n"/>
      <c r="B11" s="42" t="n"/>
      <c r="C11" s="42" t="n"/>
      <c r="D11" s="57" t="n"/>
      <c r="E11" s="43" t="n"/>
      <c r="F11" s="43" t="n"/>
      <c r="G11" s="58">
        <f>IF(E11="","",E11-F11)</f>
        <v/>
      </c>
      <c r="H11" s="43" t="n"/>
      <c r="I11" s="43" t="n"/>
      <c r="J11" s="43" t="n"/>
      <c r="K11" s="42" t="n"/>
      <c r="L11" s="63" t="n"/>
    </row>
    <row r="12" ht="21.75" customHeight="1" s="39">
      <c r="A12" s="42" t="n"/>
      <c r="B12" s="42" t="n"/>
      <c r="C12" s="42" t="n"/>
      <c r="D12" s="42" t="n"/>
      <c r="E12" s="43" t="n"/>
      <c r="F12" s="43" t="n"/>
      <c r="G12" s="59" t="n"/>
      <c r="H12" s="43" t="n"/>
      <c r="I12" s="43" t="n"/>
      <c r="J12" s="43" t="n"/>
      <c r="K12" s="42" t="n"/>
      <c r="L12" s="63" t="n"/>
    </row>
    <row r="13" ht="21.75" customHeight="1" s="39">
      <c r="A13" s="42" t="n"/>
      <c r="B13" s="42" t="n"/>
      <c r="C13" s="42" t="n"/>
      <c r="D13" s="42" t="n"/>
      <c r="E13" s="43" t="n"/>
      <c r="F13" s="43" t="n"/>
      <c r="G13" s="59" t="n"/>
      <c r="H13" s="43" t="n"/>
      <c r="I13" s="43" t="n"/>
      <c r="J13" s="43" t="n"/>
      <c r="K13" s="42" t="n"/>
      <c r="L13" s="63" t="n"/>
    </row>
    <row r="14" ht="15" customHeight="1" s="39">
      <c r="A14" s="47" t="inlineStr">
        <is>
          <t>ℹ Classe Rhétorès : saisir parmi Private Equity / Dette privée / Immobilier non coté / Infrastructures. Utilisé pour le Bloc 03 — allocation consolidée.</t>
        </is>
      </c>
    </row>
    <row r="15" ht="15" customHeight="1" s="39">
      <c r="A15" s="48" t="inlineStr">
        <is>
          <t>• Texte bleu : Donnée à saisir manuellement</t>
        </is>
      </c>
    </row>
    <row r="16" ht="15" customHeight="1" s="39">
      <c r="A16" s="48" t="inlineStr">
        <is>
          <t>• Texte noir : Formule calculée automatiquement</t>
        </is>
      </c>
    </row>
    <row r="17" ht="15" customHeight="1" s="39">
      <c r="A17" s="48" t="inlineStr">
        <is>
          <t>• Fond jaune : Cellule obligatoire à renseigner</t>
        </is>
      </c>
    </row>
  </sheetData>
  <mergeCells count="2">
    <mergeCell ref="A14:L14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0" customWidth="1" style="39" min="1" max="1"/>
    <col width="20" customWidth="1" style="39" min="2" max="2"/>
    <col width="30" customWidth="1" style="39" min="3" max="3"/>
    <col width="18" customWidth="1" style="39" min="4" max="4"/>
  </cols>
  <sheetData>
    <row r="1" ht="25.5" customHeight="1" s="39">
      <c r="A1" s="64" t="inlineStr">
        <is>
          <t>FLUX NON COTÉ — HOLDING 1</t>
        </is>
      </c>
    </row>
    <row r="3" ht="48" customHeight="1" s="39">
      <c r="A3" s="62" t="inlineStr">
        <is>
          <t>Nom du fonds / Véhicule
(= libellé exact de l'onglet Non coté)</t>
        </is>
      </c>
      <c r="B3" s="62" t="inlineStr">
        <is>
          <t>Date
(DD/MM/YYYY ; date future
autorisée pour les types « prévu »)</t>
        </is>
      </c>
      <c r="C3" s="62" t="inlineStr">
        <is>
          <t>Type
(Appel / Distribution / Valorisation /
Appel prévu / Distribution prévue)</t>
        </is>
      </c>
      <c r="D3" s="62" t="inlineStr">
        <is>
          <t>Montant (€)
(toujours positif ; le sens
est porté par le Type)</t>
        </is>
      </c>
    </row>
    <row r="4" ht="21.75" customHeight="1" s="39">
      <c r="A4" s="65" t="n"/>
      <c r="B4" s="66" t="n"/>
      <c r="C4" s="67" t="n"/>
      <c r="D4" s="68" t="n"/>
    </row>
    <row r="5" ht="21.75" customHeight="1" s="39">
      <c r="A5" s="65" t="n"/>
      <c r="B5" s="66" t="n"/>
      <c r="C5" s="67" t="n"/>
      <c r="D5" s="68" t="n"/>
    </row>
    <row r="6" ht="21.75" customHeight="1" s="39">
      <c r="A6" s="65" t="n"/>
      <c r="B6" s="66" t="n"/>
      <c r="C6" s="67" t="n"/>
      <c r="D6" s="68" t="n"/>
    </row>
    <row r="7" ht="21.75" customHeight="1" s="39">
      <c r="A7" s="65" t="n"/>
      <c r="B7" s="66" t="n"/>
      <c r="C7" s="67" t="n"/>
      <c r="D7" s="68" t="n"/>
    </row>
    <row r="8" ht="21.75" customHeight="1" s="39">
      <c r="A8" s="65" t="n"/>
      <c r="B8" s="66" t="n"/>
      <c r="C8" s="67" t="n"/>
      <c r="D8" s="68" t="n"/>
    </row>
    <row r="9" ht="21.75" customHeight="1" s="39">
      <c r="A9" s="65" t="n"/>
      <c r="B9" s="66" t="n"/>
      <c r="C9" s="67" t="n"/>
      <c r="D9" s="68" t="n"/>
    </row>
    <row r="10" ht="21.75" customHeight="1" s="39">
      <c r="A10" s="65" t="n"/>
      <c r="B10" s="66" t="n"/>
      <c r="C10" s="67" t="n"/>
      <c r="D10" s="68" t="n"/>
    </row>
    <row r="11" ht="21.75" customHeight="1" s="39">
      <c r="A11" s="65" t="n"/>
      <c r="B11" s="66" t="n"/>
      <c r="C11" s="67" t="n"/>
      <c r="D11" s="68" t="n"/>
    </row>
    <row r="12" ht="21.75" customHeight="1" s="39">
      <c r="A12" s="65" t="n"/>
      <c r="B12" s="66" t="n"/>
      <c r="C12" s="67" t="n"/>
      <c r="D12" s="68" t="n"/>
    </row>
    <row r="13" ht="21.75" customHeight="1" s="39">
      <c r="A13" s="65" t="n"/>
      <c r="B13" s="66" t="n"/>
      <c r="C13" s="67" t="n"/>
      <c r="D13" s="68" t="n"/>
    </row>
    <row r="14" ht="21.75" customHeight="1" s="39">
      <c r="A14" s="65" t="n"/>
      <c r="B14" s="66" t="n"/>
      <c r="C14" s="67" t="n"/>
      <c r="D14" s="68" t="n"/>
    </row>
    <row r="15" ht="21.75" customHeight="1" s="39">
      <c r="A15" s="65" t="n"/>
      <c r="B15" s="66" t="n"/>
      <c r="C15" s="67" t="n"/>
      <c r="D15" s="68" t="n"/>
    </row>
    <row r="16" ht="21.75" customHeight="1" s="39">
      <c r="A16" s="65" t="n"/>
      <c r="B16" s="66" t="n"/>
      <c r="C16" s="67" t="n"/>
      <c r="D16" s="68" t="n"/>
    </row>
    <row r="17" ht="21.75" customHeight="1" s="39">
      <c r="A17" s="65" t="n"/>
      <c r="B17" s="66" t="n"/>
      <c r="C17" s="67" t="n"/>
      <c r="D17" s="68" t="n"/>
    </row>
    <row r="18" ht="21.75" customHeight="1" s="39">
      <c r="A18" s="65" t="n"/>
      <c r="B18" s="66" t="n"/>
      <c r="C18" s="67" t="n"/>
      <c r="D18" s="68" t="n"/>
    </row>
    <row r="19" ht="21.75" customHeight="1" s="39">
      <c r="A19" s="65" t="n"/>
      <c r="B19" s="66" t="n"/>
      <c r="C19" s="67" t="n"/>
      <c r="D19" s="68" t="n"/>
    </row>
    <row r="20" ht="21.75" customHeight="1" s="39">
      <c r="A20" s="65" t="n"/>
      <c r="B20" s="66" t="n"/>
      <c r="C20" s="67" t="n"/>
      <c r="D20" s="68" t="n"/>
    </row>
    <row r="21" ht="21.75" customHeight="1" s="39">
      <c r="A21" s="65" t="n"/>
      <c r="B21" s="66" t="n"/>
      <c r="C21" s="67" t="n"/>
      <c r="D21" s="68" t="n"/>
    </row>
    <row r="22" ht="21.75" customHeight="1" s="39">
      <c r="A22" s="65" t="n"/>
      <c r="B22" s="66" t="n"/>
      <c r="C22" s="67" t="n"/>
      <c r="D22" s="68" t="n"/>
    </row>
    <row r="23" ht="21.75" customHeight="1" s="39">
      <c r="A23" s="65" t="n"/>
      <c r="B23" s="66" t="n"/>
      <c r="C23" s="67" t="n"/>
      <c r="D23" s="68" t="n"/>
    </row>
    <row r="24" ht="21.75" customHeight="1" s="39">
      <c r="A24" s="65" t="n"/>
      <c r="B24" s="66" t="n"/>
      <c r="C24" s="67" t="n"/>
      <c r="D24" s="68" t="n"/>
    </row>
    <row r="25" ht="21.75" customHeight="1" s="39">
      <c r="A25" s="65" t="n"/>
      <c r="B25" s="66" t="n"/>
      <c r="C25" s="67" t="n"/>
      <c r="D25" s="68" t="n"/>
    </row>
    <row r="26" ht="21.75" customHeight="1" s="39">
      <c r="A26" s="65" t="n"/>
      <c r="B26" s="66" t="n"/>
      <c r="C26" s="67" t="n"/>
      <c r="D26" s="68" t="n"/>
    </row>
    <row r="27" ht="21.75" customHeight="1" s="39">
      <c r="A27" s="65" t="n"/>
      <c r="B27" s="66" t="n"/>
      <c r="C27" s="67" t="n"/>
      <c r="D27" s="68" t="n"/>
    </row>
    <row r="28" ht="21.75" customHeight="1" s="39">
      <c r="A28" s="65" t="n"/>
      <c r="B28" s="66" t="n"/>
      <c r="C28" s="67" t="n"/>
      <c r="D28" s="68" t="n"/>
    </row>
    <row r="29" ht="21.75" customHeight="1" s="39">
      <c r="A29" s="65" t="n"/>
      <c r="B29" s="66" t="n"/>
      <c r="C29" s="67" t="n"/>
      <c r="D29" s="68" t="n"/>
    </row>
    <row r="30" ht="21.75" customHeight="1" s="39">
      <c r="A30" s="65" t="n"/>
      <c r="B30" s="66" t="n"/>
      <c r="C30" s="67" t="n"/>
      <c r="D30" s="68" t="n"/>
    </row>
    <row r="31" ht="21.75" customHeight="1" s="39">
      <c r="A31" s="65" t="n"/>
      <c r="B31" s="66" t="n"/>
      <c r="C31" s="67" t="n"/>
      <c r="D31" s="68" t="n"/>
    </row>
    <row r="32" ht="21.75" customHeight="1" s="39">
      <c r="A32" s="65" t="n"/>
      <c r="B32" s="66" t="n"/>
      <c r="C32" s="67" t="n"/>
      <c r="D32" s="68" t="n"/>
    </row>
    <row r="33" ht="21.75" customHeight="1" s="39">
      <c r="A33" s="65" t="n"/>
      <c r="B33" s="66" t="n"/>
      <c r="C33" s="67" t="n"/>
      <c r="D33" s="68" t="n"/>
    </row>
    <row r="35">
      <c r="A35" s="69" t="inlineStr">
        <is>
          <t>ℹ Un flux par ligne. « Valorisation » = NAV totale du fonds à la date (pas un delta). Les types « prévu » alimentent l'échéancier prévisionnel du reporting (jamais les KPIs).</t>
        </is>
      </c>
    </row>
    <row r="36">
      <c r="A36" s="69" t="inlineStr">
        <is>
          <t>• Texte bleu : Donnée à saisir manuellement</t>
        </is>
      </c>
    </row>
    <row r="37">
      <c r="A37" s="69" t="inlineStr">
        <is>
          <t>• Fond jaune : Cellule obligatoire à renseigner</t>
        </is>
      </c>
    </row>
  </sheetData>
  <mergeCells count="2">
    <mergeCell ref="A1:D1"/>
    <mergeCell ref="A35:D35"/>
  </mergeCells>
  <dataValidations count="1">
    <dataValidation sqref="C4:C33" showDropDown="0" showInputMessage="0" showErrorMessage="0" allowBlank="1" errorTitle="NC Flux" error="Type invalide" type="list">
      <formula1>"Appel,Distribution,Valorisation,Appel prévu,Distribution prévue"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6796875" defaultRowHeight="15" zeroHeight="0" outlineLevelRow="0"/>
  <cols>
    <col width="26" customWidth="1" style="38" min="1" max="1"/>
    <col width="18" customWidth="1" style="38" min="2" max="2"/>
    <col width="22" customWidth="1" style="38" min="3" max="3"/>
    <col width="14" customWidth="1" style="38" min="4" max="8"/>
    <col width="8" customWidth="1" style="38" min="9" max="9"/>
    <col width="14" customWidth="1" style="38" min="10" max="10"/>
    <col width="22" customWidth="1" style="38" min="11" max="11"/>
    <col width="12" customWidth="1" style="39" min="12" max="12"/>
  </cols>
  <sheetData>
    <row r="1" ht="25.5" customHeight="1" s="39">
      <c r="A1" s="40" t="inlineStr">
        <is>
          <t>FINANCIER NON COTÉ — Holding 2</t>
        </is>
      </c>
    </row>
    <row r="3" ht="37.5" customHeight="1" s="39">
      <c r="A3" s="41" t="inlineStr">
        <is>
          <t>Nom du fonds / Véhicule</t>
        </is>
      </c>
      <c r="B3" s="41" t="inlineStr">
        <is>
          <t>Gestionnaire</t>
        </is>
      </c>
      <c r="C3" s="41" t="inlineStr">
        <is>
          <t>Stratégie
(LBO/Co-invest/Evergreen…)</t>
        </is>
      </c>
      <c r="D3" s="41" t="inlineStr">
        <is>
          <t>Cible MOIC</t>
        </is>
      </c>
      <c r="E3" s="41" t="inlineStr">
        <is>
          <t>Capital engagé (€)</t>
        </is>
      </c>
      <c r="F3" s="41" t="inlineStr">
        <is>
          <t>Capital appelé (€)</t>
        </is>
      </c>
      <c r="G3" s="41" t="inlineStr">
        <is>
          <t>Non appelé réel (€)
(calculé auto)</t>
        </is>
      </c>
      <c r="H3" s="41" t="inlineStr">
        <is>
          <t>Non appelé estimé (€)</t>
        </is>
      </c>
      <c r="I3" s="41" t="inlineStr">
        <is>
          <t>MOIC réalisé</t>
        </is>
      </c>
      <c r="J3" s="41" t="inlineStr">
        <is>
          <t>Valeur liquidative (€)
(vide = placeholder)</t>
        </is>
      </c>
      <c r="K3" s="41" t="inlineStr">
        <is>
          <t>Classe Rhétorès
(PE / Dette privée / Immo non coté / Infra)</t>
        </is>
      </c>
      <c r="L3" s="62" t="inlineStr">
        <is>
          <t>TRI (%)
(fourni assureur / GP,
ex : 12,5)</t>
        </is>
      </c>
    </row>
    <row r="4" ht="21.75" customHeight="1" s="39">
      <c r="A4" s="42" t="n"/>
      <c r="B4" s="42" t="n"/>
      <c r="C4" s="42" t="n"/>
      <c r="D4" s="57" t="n"/>
      <c r="E4" s="43" t="n"/>
      <c r="F4" s="43" t="n"/>
      <c r="G4" s="58">
        <f>IF(E4="","",E4-F4)</f>
        <v/>
      </c>
      <c r="H4" s="43" t="n"/>
      <c r="I4" s="43" t="n"/>
      <c r="J4" s="43" t="n"/>
      <c r="K4" s="42" t="n"/>
      <c r="L4" s="63" t="n"/>
    </row>
    <row r="5" ht="21.75" customHeight="1" s="39">
      <c r="A5" s="42" t="n"/>
      <c r="B5" s="42" t="n"/>
      <c r="C5" s="42" t="n"/>
      <c r="D5" s="57" t="n"/>
      <c r="E5" s="43" t="n"/>
      <c r="F5" s="43" t="n"/>
      <c r="G5" s="58">
        <f>IF(E5="","",E5-F5)</f>
        <v/>
      </c>
      <c r="H5" s="43" t="n"/>
      <c r="I5" s="43" t="n"/>
      <c r="J5" s="43" t="n"/>
      <c r="K5" s="42" t="n"/>
      <c r="L5" s="63" t="n"/>
    </row>
    <row r="6" ht="21.75" customHeight="1" s="39">
      <c r="A6" s="42" t="n"/>
      <c r="B6" s="42" t="n"/>
      <c r="C6" s="42" t="n"/>
      <c r="D6" s="57" t="n"/>
      <c r="E6" s="43" t="n"/>
      <c r="F6" s="43" t="n"/>
      <c r="G6" s="58">
        <f>IF(E6="","",E6-F6)</f>
        <v/>
      </c>
      <c r="H6" s="43" t="n"/>
      <c r="I6" s="43" t="n"/>
      <c r="J6" s="43" t="n"/>
      <c r="K6" s="42" t="n"/>
      <c r="L6" s="63" t="n"/>
    </row>
    <row r="7" ht="21.75" customHeight="1" s="39">
      <c r="A7" s="42" t="n"/>
      <c r="B7" s="42" t="n"/>
      <c r="C7" s="42" t="n"/>
      <c r="D7" s="57" t="n"/>
      <c r="E7" s="43" t="n"/>
      <c r="F7" s="43" t="n"/>
      <c r="G7" s="58">
        <f>IF(E7="","",E7-F7)</f>
        <v/>
      </c>
      <c r="H7" s="43" t="n"/>
      <c r="I7" s="43" t="n"/>
      <c r="J7" s="43" t="n"/>
      <c r="K7" s="42" t="n"/>
      <c r="L7" s="63" t="n"/>
    </row>
    <row r="8" ht="21.75" customHeight="1" s="39">
      <c r="A8" s="42" t="n"/>
      <c r="B8" s="42" t="n"/>
      <c r="C8" s="42" t="n"/>
      <c r="D8" s="57" t="n"/>
      <c r="E8" s="43" t="n"/>
      <c r="F8" s="43" t="n"/>
      <c r="G8" s="58">
        <f>IF(E8="","",E8-F8)</f>
        <v/>
      </c>
      <c r="H8" s="43" t="n"/>
      <c r="I8" s="43" t="n"/>
      <c r="J8" s="43" t="n"/>
      <c r="K8" s="42" t="n"/>
      <c r="L8" s="63" t="n"/>
    </row>
    <row r="9" ht="21.75" customHeight="1" s="39">
      <c r="A9" s="42" t="n"/>
      <c r="B9" s="42" t="n"/>
      <c r="C9" s="42" t="n"/>
      <c r="D9" s="57" t="n"/>
      <c r="E9" s="43" t="n"/>
      <c r="F9" s="43" t="n"/>
      <c r="G9" s="58">
        <f>IF(E9="","",E9-F9)</f>
        <v/>
      </c>
      <c r="H9" s="43" t="n"/>
      <c r="I9" s="43" t="n"/>
      <c r="J9" s="43" t="n"/>
      <c r="K9" s="42" t="n"/>
      <c r="L9" s="63" t="n"/>
    </row>
    <row r="10" ht="21.75" customHeight="1" s="39">
      <c r="A10" s="42" t="n"/>
      <c r="B10" s="42" t="n"/>
      <c r="C10" s="42" t="n"/>
      <c r="D10" s="57" t="n"/>
      <c r="E10" s="43" t="n"/>
      <c r="F10" s="43" t="n"/>
      <c r="G10" s="58">
        <f>IF(E10="","",E10-F10)</f>
        <v/>
      </c>
      <c r="H10" s="43" t="n"/>
      <c r="I10" s="43" t="n"/>
      <c r="J10" s="43" t="n"/>
      <c r="K10" s="42" t="n"/>
      <c r="L10" s="63" t="n"/>
    </row>
    <row r="11" ht="21.75" customHeight="1" s="39">
      <c r="A11" s="42" t="n"/>
      <c r="B11" s="42" t="n"/>
      <c r="C11" s="42" t="n"/>
      <c r="D11" s="57" t="n"/>
      <c r="E11" s="43" t="n"/>
      <c r="F11" s="43" t="n"/>
      <c r="G11" s="58">
        <f>IF(E11="","",E11-F11)</f>
        <v/>
      </c>
      <c r="H11" s="43" t="n"/>
      <c r="I11" s="43" t="n"/>
      <c r="J11" s="43" t="n"/>
      <c r="K11" s="42" t="n"/>
      <c r="L11" s="63" t="n"/>
    </row>
    <row r="12" ht="21.75" customHeight="1" s="39">
      <c r="A12" s="42" t="n"/>
      <c r="B12" s="42" t="n"/>
      <c r="C12" s="42" t="n"/>
      <c r="D12" s="42" t="n"/>
      <c r="E12" s="43" t="n"/>
      <c r="F12" s="43" t="n"/>
      <c r="G12" s="59" t="n"/>
      <c r="H12" s="43" t="n"/>
      <c r="I12" s="43" t="n"/>
      <c r="J12" s="43" t="n"/>
      <c r="K12" s="42" t="n"/>
      <c r="L12" s="63" t="n"/>
    </row>
    <row r="13" ht="21.75" customHeight="1" s="39">
      <c r="A13" s="42" t="n"/>
      <c r="B13" s="42" t="n"/>
      <c r="C13" s="42" t="n"/>
      <c r="D13" s="42" t="n"/>
      <c r="E13" s="43" t="n"/>
      <c r="F13" s="43" t="n"/>
      <c r="G13" s="59" t="n"/>
      <c r="H13" s="43" t="n"/>
      <c r="I13" s="43" t="n"/>
      <c r="J13" s="43" t="n"/>
      <c r="K13" s="42" t="n"/>
      <c r="L13" s="63" t="n"/>
    </row>
    <row r="14" ht="15" customHeight="1" s="39">
      <c r="A14" s="47" t="inlineStr">
        <is>
          <t>ℹ Classe Rhétorès : saisir parmi Private Equity / Dette privée / Immobilier non coté / Infrastructures. Utilisé pour le Bloc 03 — allocation consolidée.</t>
        </is>
      </c>
    </row>
    <row r="15" ht="15" customHeight="1" s="39">
      <c r="A15" s="48" t="inlineStr">
        <is>
          <t>• Texte bleu : Donnée à saisir manuellement</t>
        </is>
      </c>
    </row>
    <row r="16" ht="15" customHeight="1" s="39">
      <c r="A16" s="48" t="inlineStr">
        <is>
          <t>• Texte noir : Formule calculée automatiquement</t>
        </is>
      </c>
    </row>
    <row r="17" ht="15" customHeight="1" s="39">
      <c r="A17" s="48" t="inlineStr">
        <is>
          <t>• Fond jaune : Cellule obligatoire à renseigner</t>
        </is>
      </c>
    </row>
  </sheetData>
  <mergeCells count="2">
    <mergeCell ref="A14:L14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0" customWidth="1" style="39" min="1" max="1"/>
    <col width="20" customWidth="1" style="39" min="2" max="2"/>
    <col width="30" customWidth="1" style="39" min="3" max="3"/>
    <col width="18" customWidth="1" style="39" min="4" max="4"/>
  </cols>
  <sheetData>
    <row r="1" ht="25.5" customHeight="1" s="39">
      <c r="A1" s="64" t="inlineStr">
        <is>
          <t>FLUX NON COTÉ — HOLDING 2</t>
        </is>
      </c>
    </row>
    <row r="3" ht="48" customHeight="1" s="39">
      <c r="A3" s="62" t="inlineStr">
        <is>
          <t>Nom du fonds / Véhicule
(= libellé exact de l'onglet Non coté)</t>
        </is>
      </c>
      <c r="B3" s="62" t="inlineStr">
        <is>
          <t>Date
(DD/MM/YYYY ; date future
autorisée pour les types « prévu »)</t>
        </is>
      </c>
      <c r="C3" s="62" t="inlineStr">
        <is>
          <t>Type
(Appel / Distribution / Valorisation /
Appel prévu / Distribution prévue)</t>
        </is>
      </c>
      <c r="D3" s="62" t="inlineStr">
        <is>
          <t>Montant (€)
(toujours positif ; le sens
est porté par le Type)</t>
        </is>
      </c>
    </row>
    <row r="4" ht="21.75" customHeight="1" s="39">
      <c r="A4" s="65" t="n"/>
      <c r="B4" s="66" t="n"/>
      <c r="C4" s="67" t="n"/>
      <c r="D4" s="68" t="n"/>
    </row>
    <row r="5" ht="21.75" customHeight="1" s="39">
      <c r="A5" s="65" t="n"/>
      <c r="B5" s="66" t="n"/>
      <c r="C5" s="67" t="n"/>
      <c r="D5" s="68" t="n"/>
    </row>
    <row r="6" ht="21.75" customHeight="1" s="39">
      <c r="A6" s="65" t="n"/>
      <c r="B6" s="66" t="n"/>
      <c r="C6" s="67" t="n"/>
      <c r="D6" s="68" t="n"/>
    </row>
    <row r="7" ht="21.75" customHeight="1" s="39">
      <c r="A7" s="65" t="n"/>
      <c r="B7" s="66" t="n"/>
      <c r="C7" s="67" t="n"/>
      <c r="D7" s="68" t="n"/>
    </row>
    <row r="8" ht="21.75" customHeight="1" s="39">
      <c r="A8" s="65" t="n"/>
      <c r="B8" s="66" t="n"/>
      <c r="C8" s="67" t="n"/>
      <c r="D8" s="68" t="n"/>
    </row>
    <row r="9" ht="21.75" customHeight="1" s="39">
      <c r="A9" s="65" t="n"/>
      <c r="B9" s="66" t="n"/>
      <c r="C9" s="67" t="n"/>
      <c r="D9" s="68" t="n"/>
    </row>
    <row r="10" ht="21.75" customHeight="1" s="39">
      <c r="A10" s="65" t="n"/>
      <c r="B10" s="66" t="n"/>
      <c r="C10" s="67" t="n"/>
      <c r="D10" s="68" t="n"/>
    </row>
    <row r="11" ht="21.75" customHeight="1" s="39">
      <c r="A11" s="65" t="n"/>
      <c r="B11" s="66" t="n"/>
      <c r="C11" s="67" t="n"/>
      <c r="D11" s="68" t="n"/>
    </row>
    <row r="12" ht="21.75" customHeight="1" s="39">
      <c r="A12" s="65" t="n"/>
      <c r="B12" s="66" t="n"/>
      <c r="C12" s="67" t="n"/>
      <c r="D12" s="68" t="n"/>
    </row>
    <row r="13" ht="21.75" customHeight="1" s="39">
      <c r="A13" s="65" t="n"/>
      <c r="B13" s="66" t="n"/>
      <c r="C13" s="67" t="n"/>
      <c r="D13" s="68" t="n"/>
    </row>
    <row r="14" ht="21.75" customHeight="1" s="39">
      <c r="A14" s="65" t="n"/>
      <c r="B14" s="66" t="n"/>
      <c r="C14" s="67" t="n"/>
      <c r="D14" s="68" t="n"/>
    </row>
    <row r="15" ht="21.75" customHeight="1" s="39">
      <c r="A15" s="65" t="n"/>
      <c r="B15" s="66" t="n"/>
      <c r="C15" s="67" t="n"/>
      <c r="D15" s="68" t="n"/>
    </row>
    <row r="16" ht="21.75" customHeight="1" s="39">
      <c r="A16" s="65" t="n"/>
      <c r="B16" s="66" t="n"/>
      <c r="C16" s="67" t="n"/>
      <c r="D16" s="68" t="n"/>
    </row>
    <row r="17" ht="21.75" customHeight="1" s="39">
      <c r="A17" s="65" t="n"/>
      <c r="B17" s="66" t="n"/>
      <c r="C17" s="67" t="n"/>
      <c r="D17" s="68" t="n"/>
    </row>
    <row r="18" ht="21.75" customHeight="1" s="39">
      <c r="A18" s="65" t="n"/>
      <c r="B18" s="66" t="n"/>
      <c r="C18" s="67" t="n"/>
      <c r="D18" s="68" t="n"/>
    </row>
    <row r="19" ht="21.75" customHeight="1" s="39">
      <c r="A19" s="65" t="n"/>
      <c r="B19" s="66" t="n"/>
      <c r="C19" s="67" t="n"/>
      <c r="D19" s="68" t="n"/>
    </row>
    <row r="20" ht="21.75" customHeight="1" s="39">
      <c r="A20" s="65" t="n"/>
      <c r="B20" s="66" t="n"/>
      <c r="C20" s="67" t="n"/>
      <c r="D20" s="68" t="n"/>
    </row>
    <row r="21" ht="21.75" customHeight="1" s="39">
      <c r="A21" s="65" t="n"/>
      <c r="B21" s="66" t="n"/>
      <c r="C21" s="67" t="n"/>
      <c r="D21" s="68" t="n"/>
    </row>
    <row r="22" ht="21.75" customHeight="1" s="39">
      <c r="A22" s="65" t="n"/>
      <c r="B22" s="66" t="n"/>
      <c r="C22" s="67" t="n"/>
      <c r="D22" s="68" t="n"/>
    </row>
    <row r="23" ht="21.75" customHeight="1" s="39">
      <c r="A23" s="65" t="n"/>
      <c r="B23" s="66" t="n"/>
      <c r="C23" s="67" t="n"/>
      <c r="D23" s="68" t="n"/>
    </row>
    <row r="24" ht="21.75" customHeight="1" s="39">
      <c r="A24" s="65" t="n"/>
      <c r="B24" s="66" t="n"/>
      <c r="C24" s="67" t="n"/>
      <c r="D24" s="68" t="n"/>
    </row>
    <row r="25" ht="21.75" customHeight="1" s="39">
      <c r="A25" s="65" t="n"/>
      <c r="B25" s="66" t="n"/>
      <c r="C25" s="67" t="n"/>
      <c r="D25" s="68" t="n"/>
    </row>
    <row r="26" ht="21.75" customHeight="1" s="39">
      <c r="A26" s="65" t="n"/>
      <c r="B26" s="66" t="n"/>
      <c r="C26" s="67" t="n"/>
      <c r="D26" s="68" t="n"/>
    </row>
    <row r="27" ht="21.75" customHeight="1" s="39">
      <c r="A27" s="65" t="n"/>
      <c r="B27" s="66" t="n"/>
      <c r="C27" s="67" t="n"/>
      <c r="D27" s="68" t="n"/>
    </row>
    <row r="28" ht="21.75" customHeight="1" s="39">
      <c r="A28" s="65" t="n"/>
      <c r="B28" s="66" t="n"/>
      <c r="C28" s="67" t="n"/>
      <c r="D28" s="68" t="n"/>
    </row>
    <row r="29" ht="21.75" customHeight="1" s="39">
      <c r="A29" s="65" t="n"/>
      <c r="B29" s="66" t="n"/>
      <c r="C29" s="67" t="n"/>
      <c r="D29" s="68" t="n"/>
    </row>
    <row r="30" ht="21.75" customHeight="1" s="39">
      <c r="A30" s="65" t="n"/>
      <c r="B30" s="66" t="n"/>
      <c r="C30" s="67" t="n"/>
      <c r="D30" s="68" t="n"/>
    </row>
    <row r="31" ht="21.75" customHeight="1" s="39">
      <c r="A31" s="65" t="n"/>
      <c r="B31" s="66" t="n"/>
      <c r="C31" s="67" t="n"/>
      <c r="D31" s="68" t="n"/>
    </row>
    <row r="32" ht="21.75" customHeight="1" s="39">
      <c r="A32" s="65" t="n"/>
      <c r="B32" s="66" t="n"/>
      <c r="C32" s="67" t="n"/>
      <c r="D32" s="68" t="n"/>
    </row>
    <row r="33" ht="21.75" customHeight="1" s="39">
      <c r="A33" s="65" t="n"/>
      <c r="B33" s="66" t="n"/>
      <c r="C33" s="67" t="n"/>
      <c r="D33" s="68" t="n"/>
    </row>
    <row r="35">
      <c r="A35" s="69" t="inlineStr">
        <is>
          <t>ℹ Un flux par ligne. « Valorisation » = NAV totale du fonds à la date (pas un delta). Les types « prévu » alimentent l'échéancier prévisionnel du reporting (jamais les KPIs).</t>
        </is>
      </c>
    </row>
    <row r="36">
      <c r="A36" s="69" t="inlineStr">
        <is>
          <t>• Texte bleu : Donnée à saisir manuellement</t>
        </is>
      </c>
    </row>
    <row r="37">
      <c r="A37" s="69" t="inlineStr">
        <is>
          <t>• Fond jaune : Cellule obligatoire à renseigner</t>
        </is>
      </c>
    </row>
  </sheetData>
  <mergeCells count="2">
    <mergeCell ref="A1:D1"/>
    <mergeCell ref="A35:D35"/>
  </mergeCells>
  <dataValidations count="1">
    <dataValidation sqref="C4:C33" showDropDown="0" showInputMessage="0" showErrorMessage="0" allowBlank="1" errorTitle="NC Flux" error="Type invalide" type="list">
      <formula1>"Appel,Distribution,Valorisation,Appel prévu,Distribution prévue"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K15"/>
  <sheetViews>
    <sheetView showFormulas="0" showGridLines="1" showRowColHeaders="1" showZeros="1" rightToLeft="0" tabSelected="0" showOutlineSymbols="1" defaultGridColor="1" view="normal" topLeftCell="A1" colorId="64" zoomScale="125" zoomScaleNormal="125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I6" activeCellId="0" sqref="I6"/>
    </sheetView>
  </sheetViews>
  <sheetFormatPr baseColWidth="8" defaultColWidth="8.66796875" defaultRowHeight="15" zeroHeight="0" outlineLevelRow="0"/>
  <cols>
    <col width="22" customWidth="1" style="38" min="1" max="2"/>
    <col width="18" customWidth="1" style="38" min="3" max="3"/>
    <col width="14" customWidth="1" style="38" min="4" max="4"/>
    <col width="18" customWidth="1" style="38" min="5" max="5"/>
    <col width="16" customWidth="1" style="38" min="6" max="8"/>
    <col width="26" customWidth="1" style="38" min="9" max="9"/>
    <col width="18" customWidth="1" style="38" min="10" max="10"/>
  </cols>
  <sheetData>
    <row r="1" ht="25.5" customHeight="1" s="39">
      <c r="A1" s="40" t="inlineStr">
        <is>
          <t>DETTES — PP</t>
        </is>
      </c>
    </row>
    <row r="3" ht="37.5" customHeight="1" s="39">
      <c r="A3" s="41" t="inlineStr">
        <is>
          <t>Intitulé</t>
        </is>
      </c>
      <c r="B3" s="41" t="inlineStr">
        <is>
          <t>Établissement</t>
        </is>
      </c>
      <c r="C3" s="41" t="inlineStr">
        <is>
          <t>Type
(In fine / Amortissable)</t>
        </is>
      </c>
      <c r="D3" s="41" t="inlineStr">
        <is>
          <t>Date souscription</t>
        </is>
      </c>
      <c r="E3" s="41" t="inlineStr">
        <is>
          <t>Montant initial (€)</t>
        </is>
      </c>
      <c r="F3" s="41" t="inlineStr">
        <is>
          <t>Taux</t>
        </is>
      </c>
      <c r="G3" s="41" t="inlineStr">
        <is>
          <t>Échéance</t>
        </is>
      </c>
      <c r="H3" s="41" t="inlineStr">
        <is>
          <t>Périodicité intérêts</t>
        </is>
      </c>
      <c r="I3" s="41" t="inlineStr">
        <is>
          <t>Garantie financière</t>
        </is>
      </c>
      <c r="J3" s="41" t="inlineStr">
        <is>
          <t>Capital restant dû (€)</t>
        </is>
      </c>
      <c r="K3" s="38" t="inlineStr">
        <is>
          <t>Adossement (catégorie)</t>
        </is>
      </c>
    </row>
    <row r="4" ht="21.75" customHeight="1" s="39">
      <c r="A4" s="42" t="n"/>
      <c r="B4" s="42" t="n"/>
      <c r="C4" s="42" t="n"/>
      <c r="D4" s="50" t="n"/>
      <c r="E4" s="43" t="n"/>
      <c r="F4" s="60" t="n"/>
      <c r="G4" s="50" t="n"/>
      <c r="H4" s="49" t="n"/>
      <c r="I4" s="42" t="n"/>
      <c r="J4" s="43">
        <f>E4</f>
        <v/>
      </c>
    </row>
    <row r="5" ht="21.75" customHeight="1" s="39">
      <c r="A5" s="42" t="n"/>
      <c r="B5" s="42" t="n"/>
      <c r="C5" s="42" t="n"/>
      <c r="D5" s="50" t="n"/>
      <c r="E5" s="43" t="n"/>
      <c r="F5" s="61" t="n"/>
      <c r="G5" s="50" t="n"/>
      <c r="H5" s="49" t="n"/>
      <c r="I5" s="42" t="n"/>
      <c r="J5" s="43">
        <f>E5</f>
        <v/>
      </c>
    </row>
    <row r="6" ht="21.75" customHeight="1" s="39">
      <c r="A6" s="42" t="n"/>
      <c r="B6" s="42" t="n"/>
      <c r="C6" s="42" t="n"/>
      <c r="D6" s="50" t="n"/>
      <c r="E6" s="43" t="n"/>
      <c r="F6" s="61" t="n"/>
      <c r="G6" s="50" t="n"/>
      <c r="H6" s="49" t="n"/>
      <c r="I6" s="42" t="n"/>
      <c r="J6" s="43">
        <f>E6</f>
        <v/>
      </c>
    </row>
    <row r="7" ht="21.75" customHeight="1" s="39">
      <c r="A7" s="42" t="n"/>
      <c r="B7" s="42" t="n"/>
      <c r="C7" s="42" t="n"/>
      <c r="D7" s="50" t="n"/>
      <c r="E7" s="43" t="n"/>
      <c r="F7" s="61" t="n"/>
      <c r="G7" s="50" t="n"/>
      <c r="H7" s="49" t="n"/>
      <c r="I7" s="42" t="n"/>
      <c r="J7" s="43" t="n"/>
    </row>
    <row r="8" ht="21.75" customHeight="1" s="39">
      <c r="A8" s="42" t="n"/>
      <c r="B8" s="42" t="n"/>
      <c r="C8" s="42" t="n"/>
      <c r="D8" s="50" t="n"/>
      <c r="E8" s="43" t="n"/>
      <c r="F8" s="61" t="n"/>
      <c r="G8" s="50" t="n"/>
      <c r="H8" s="49" t="n"/>
      <c r="I8" s="42" t="n"/>
      <c r="J8" s="43" t="n"/>
    </row>
    <row r="9" ht="21.75" customHeight="1" s="39">
      <c r="A9" s="42" t="n"/>
      <c r="B9" s="42" t="n"/>
      <c r="C9" s="42" t="n"/>
      <c r="D9" s="50" t="n"/>
      <c r="E9" s="43" t="n"/>
      <c r="F9" s="61" t="n"/>
      <c r="G9" s="50" t="n"/>
      <c r="H9" s="49" t="n"/>
      <c r="I9" s="42" t="n"/>
      <c r="J9" s="43" t="n"/>
    </row>
    <row r="10" ht="25.5" customHeight="1" s="39">
      <c r="A10" s="44" t="inlineStr">
        <is>
          <t>TOTAL DETTES</t>
        </is>
      </c>
      <c r="B10" s="45" t="n"/>
      <c r="C10" s="45" t="n"/>
      <c r="D10" s="45" t="n"/>
      <c r="E10" s="45" t="n"/>
      <c r="F10" s="45" t="n"/>
      <c r="G10" s="45" t="n"/>
      <c r="H10" s="45" t="n"/>
      <c r="I10" s="45" t="n"/>
      <c r="J10" s="46">
        <f>SUM(J4:J9)</f>
        <v/>
      </c>
    </row>
    <row r="12" ht="15" customHeight="1" s="39">
      <c r="A12" s="47" t="inlineStr">
        <is>
          <t>LÉGENDE</t>
        </is>
      </c>
    </row>
    <row r="13" ht="15" customHeight="1" s="39">
      <c r="A13" s="48" t="inlineStr">
        <is>
          <t>• Texte bleu : Donnée à saisir manuellement</t>
        </is>
      </c>
    </row>
    <row r="14" ht="15" customHeight="1" s="39">
      <c r="A14" s="48" t="inlineStr">
        <is>
          <t>• Texte noir : Formule calculée automatiquement</t>
        </is>
      </c>
    </row>
    <row r="15" ht="15" customHeight="1" s="39">
      <c r="A15" s="48" t="inlineStr">
        <is>
          <t>• Fond jaune : Cellule obligatoire à renseigner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K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6796875" defaultRowHeight="15" zeroHeight="0" outlineLevelRow="0"/>
  <cols>
    <col width="22" customWidth="1" style="38" min="1" max="2"/>
    <col width="18" customWidth="1" style="38" min="3" max="3"/>
    <col width="14" customWidth="1" style="38" min="4" max="4"/>
    <col width="18" customWidth="1" style="38" min="5" max="5"/>
    <col width="16" customWidth="1" style="38" min="6" max="8"/>
    <col width="26" customWidth="1" style="38" min="9" max="9"/>
    <col width="18" customWidth="1" style="38" min="10" max="10"/>
  </cols>
  <sheetData>
    <row r="1" ht="25.5" customHeight="1" s="39">
      <c r="A1" s="40" t="inlineStr">
        <is>
          <t>DETTES — Holding 1</t>
        </is>
      </c>
    </row>
    <row r="3" ht="37.5" customHeight="1" s="39">
      <c r="A3" s="41" t="inlineStr">
        <is>
          <t>Intitulé</t>
        </is>
      </c>
      <c r="B3" s="41" t="inlineStr">
        <is>
          <t>Établissement</t>
        </is>
      </c>
      <c r="C3" s="41" t="inlineStr">
        <is>
          <t>Type
(In fine / Amortissable)</t>
        </is>
      </c>
      <c r="D3" s="41" t="inlineStr">
        <is>
          <t>Date souscription</t>
        </is>
      </c>
      <c r="E3" s="41" t="inlineStr">
        <is>
          <t>Montant initial (€)</t>
        </is>
      </c>
      <c r="F3" s="41" t="inlineStr">
        <is>
          <t>Taux</t>
        </is>
      </c>
      <c r="G3" s="41" t="inlineStr">
        <is>
          <t>Échéance</t>
        </is>
      </c>
      <c r="H3" s="41" t="inlineStr">
        <is>
          <t>Périodicité intérêts</t>
        </is>
      </c>
      <c r="I3" s="41" t="inlineStr">
        <is>
          <t>Garantie financière</t>
        </is>
      </c>
      <c r="J3" s="41" t="inlineStr">
        <is>
          <t>Capital restant dû (€)</t>
        </is>
      </c>
      <c r="K3" s="38" t="inlineStr">
        <is>
          <t>Adossement (catégorie)</t>
        </is>
      </c>
    </row>
    <row r="4" ht="21.75" customHeight="1" s="39">
      <c r="A4" s="42" t="n"/>
      <c r="B4" s="42" t="n"/>
      <c r="C4" s="42" t="n"/>
      <c r="D4" s="50" t="n"/>
      <c r="E4" s="43" t="n"/>
      <c r="F4" s="61" t="n"/>
      <c r="G4" s="50" t="n"/>
      <c r="H4" s="49" t="n"/>
      <c r="I4" s="42" t="n"/>
      <c r="J4" s="43" t="n"/>
    </row>
    <row r="5" ht="21.75" customHeight="1" s="39">
      <c r="A5" s="42" t="n"/>
      <c r="B5" s="42" t="n"/>
      <c r="C5" s="42" t="n"/>
      <c r="D5" s="50" t="n"/>
      <c r="E5" s="43" t="n"/>
      <c r="F5" s="61" t="n"/>
      <c r="G5" s="50" t="n"/>
      <c r="H5" s="49" t="n"/>
      <c r="I5" s="42" t="n"/>
      <c r="J5" s="43" t="n"/>
    </row>
    <row r="6" ht="21.75" customHeight="1" s="39">
      <c r="A6" s="42" t="n"/>
      <c r="B6" s="42" t="n"/>
      <c r="C6" s="42" t="n"/>
      <c r="D6" s="50" t="n"/>
      <c r="E6" s="43" t="n"/>
      <c r="F6" s="61" t="n"/>
      <c r="G6" s="50" t="n"/>
      <c r="H6" s="49" t="n"/>
      <c r="I6" s="42" t="n"/>
      <c r="J6" s="43" t="n"/>
    </row>
    <row r="7" ht="21.75" customHeight="1" s="39">
      <c r="A7" s="42" t="n"/>
      <c r="B7" s="42" t="n"/>
      <c r="C7" s="42" t="n"/>
      <c r="D7" s="50" t="n"/>
      <c r="E7" s="43" t="n"/>
      <c r="F7" s="61" t="n"/>
      <c r="G7" s="50" t="n"/>
      <c r="H7" s="49" t="n"/>
      <c r="I7" s="42" t="n"/>
      <c r="J7" s="43" t="n"/>
    </row>
    <row r="8" ht="21.75" customHeight="1" s="39">
      <c r="A8" s="42" t="n"/>
      <c r="B8" s="42" t="n"/>
      <c r="C8" s="42" t="n"/>
      <c r="D8" s="50" t="n"/>
      <c r="E8" s="43" t="n"/>
      <c r="F8" s="61" t="n"/>
      <c r="G8" s="50" t="n"/>
      <c r="H8" s="49" t="n"/>
      <c r="I8" s="42" t="n"/>
      <c r="J8" s="43" t="n"/>
    </row>
    <row r="9" ht="21.75" customHeight="1" s="39">
      <c r="A9" s="42" t="n"/>
      <c r="B9" s="42" t="n"/>
      <c r="C9" s="42" t="n"/>
      <c r="D9" s="50" t="n"/>
      <c r="E9" s="43" t="n"/>
      <c r="F9" s="61" t="n"/>
      <c r="G9" s="50" t="n"/>
      <c r="H9" s="49" t="n"/>
      <c r="I9" s="42" t="n"/>
      <c r="J9" s="43" t="n"/>
    </row>
    <row r="10" ht="25.5" customHeight="1" s="39">
      <c r="A10" s="44" t="inlineStr">
        <is>
          <t>TOTAL DETTES</t>
        </is>
      </c>
      <c r="B10" s="45" t="n"/>
      <c r="C10" s="45" t="n"/>
      <c r="D10" s="45" t="n"/>
      <c r="E10" s="45" t="n"/>
      <c r="F10" s="45" t="n"/>
      <c r="G10" s="45" t="n"/>
      <c r="H10" s="45" t="n"/>
      <c r="I10" s="45" t="n"/>
      <c r="J10" s="46">
        <f>SUM(J4:J9)</f>
        <v/>
      </c>
    </row>
    <row r="12" ht="15" customHeight="1" s="39">
      <c r="A12" s="47" t="inlineStr">
        <is>
          <t>LÉGENDE</t>
        </is>
      </c>
    </row>
    <row r="13" ht="15" customHeight="1" s="39">
      <c r="A13" s="48" t="inlineStr">
        <is>
          <t>• Texte bleu : Donnée à saisir manuellement</t>
        </is>
      </c>
    </row>
    <row r="14" ht="15" customHeight="1" s="39">
      <c r="A14" s="48" t="inlineStr">
        <is>
          <t>• Texte noir : Formule calculée automatiquement</t>
        </is>
      </c>
    </row>
    <row r="15" ht="15" customHeight="1" s="39">
      <c r="A15" s="48" t="inlineStr">
        <is>
          <t>• Fond jaune : Cellule obligatoire à renseigner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K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6796875" defaultRowHeight="15" zeroHeight="0" outlineLevelRow="0"/>
  <cols>
    <col width="22" customWidth="1" style="38" min="1" max="2"/>
    <col width="18" customWidth="1" style="38" min="3" max="3"/>
    <col width="14" customWidth="1" style="38" min="4" max="4"/>
    <col width="18" customWidth="1" style="38" min="5" max="5"/>
    <col width="16" customWidth="1" style="38" min="6" max="8"/>
    <col width="26" customWidth="1" style="38" min="9" max="9"/>
    <col width="18" customWidth="1" style="38" min="10" max="10"/>
  </cols>
  <sheetData>
    <row r="1" ht="25.5" customHeight="1" s="39">
      <c r="A1" s="40" t="inlineStr">
        <is>
          <t>DETTES — Holding 2</t>
        </is>
      </c>
    </row>
    <row r="3" ht="37.5" customHeight="1" s="39">
      <c r="A3" s="41" t="inlineStr">
        <is>
          <t>Intitulé</t>
        </is>
      </c>
      <c r="B3" s="41" t="inlineStr">
        <is>
          <t>Établissement</t>
        </is>
      </c>
      <c r="C3" s="41" t="inlineStr">
        <is>
          <t>Type
(In fine / Amortissable)</t>
        </is>
      </c>
      <c r="D3" s="41" t="inlineStr">
        <is>
          <t>Date souscription</t>
        </is>
      </c>
      <c r="E3" s="41" t="inlineStr">
        <is>
          <t>Montant initial (€)</t>
        </is>
      </c>
      <c r="F3" s="41" t="inlineStr">
        <is>
          <t>Taux</t>
        </is>
      </c>
      <c r="G3" s="41" t="inlineStr">
        <is>
          <t>Échéance</t>
        </is>
      </c>
      <c r="H3" s="41" t="inlineStr">
        <is>
          <t>Périodicité intérêts</t>
        </is>
      </c>
      <c r="I3" s="41" t="inlineStr">
        <is>
          <t>Garantie financière</t>
        </is>
      </c>
      <c r="J3" s="41" t="inlineStr">
        <is>
          <t>Capital restant dû (€)</t>
        </is>
      </c>
      <c r="K3" s="38" t="inlineStr">
        <is>
          <t>Adossement (catégorie)</t>
        </is>
      </c>
    </row>
    <row r="4" ht="21.75" customHeight="1" s="39">
      <c r="A4" s="42" t="n"/>
      <c r="B4" s="42" t="n"/>
      <c r="C4" s="42" t="n"/>
      <c r="D4" s="50" t="n"/>
      <c r="E4" s="43" t="n"/>
      <c r="F4" s="61" t="n"/>
      <c r="G4" s="50" t="n"/>
      <c r="H4" s="49" t="n"/>
      <c r="I4" s="42" t="n"/>
      <c r="J4" s="43" t="n"/>
    </row>
    <row r="5" ht="21.75" customHeight="1" s="39">
      <c r="A5" s="42" t="n"/>
      <c r="B5" s="42" t="n"/>
      <c r="C5" s="42" t="n"/>
      <c r="D5" s="50" t="n"/>
      <c r="E5" s="43" t="n"/>
      <c r="F5" s="61" t="n"/>
      <c r="G5" s="50" t="n"/>
      <c r="H5" s="49" t="n"/>
      <c r="I5" s="42" t="n"/>
      <c r="J5" s="43" t="n"/>
    </row>
    <row r="6" ht="21.75" customHeight="1" s="39">
      <c r="A6" s="42" t="n"/>
      <c r="B6" s="42" t="n"/>
      <c r="C6" s="42" t="n"/>
      <c r="D6" s="50" t="n"/>
      <c r="E6" s="43" t="n"/>
      <c r="F6" s="61" t="n"/>
      <c r="G6" s="50" t="n"/>
      <c r="H6" s="49" t="n"/>
      <c r="I6" s="42" t="n"/>
      <c r="J6" s="43" t="n"/>
    </row>
    <row r="7" ht="21.75" customHeight="1" s="39">
      <c r="A7" s="42" t="n"/>
      <c r="B7" s="42" t="n"/>
      <c r="C7" s="42" t="n"/>
      <c r="D7" s="50" t="n"/>
      <c r="E7" s="43" t="n"/>
      <c r="F7" s="61" t="n"/>
      <c r="G7" s="50" t="n"/>
      <c r="H7" s="49" t="n"/>
      <c r="I7" s="42" t="n"/>
      <c r="J7" s="43" t="n"/>
    </row>
    <row r="8" ht="21.75" customHeight="1" s="39">
      <c r="A8" s="42" t="n"/>
      <c r="B8" s="42" t="n"/>
      <c r="C8" s="42" t="n"/>
      <c r="D8" s="50" t="n"/>
      <c r="E8" s="43" t="n"/>
      <c r="F8" s="61" t="n"/>
      <c r="G8" s="50" t="n"/>
      <c r="H8" s="49" t="n"/>
      <c r="I8" s="42" t="n"/>
      <c r="J8" s="43" t="n"/>
    </row>
    <row r="9" ht="21.75" customHeight="1" s="39">
      <c r="A9" s="42" t="n"/>
      <c r="B9" s="42" t="n"/>
      <c r="C9" s="42" t="n"/>
      <c r="D9" s="50" t="n"/>
      <c r="E9" s="43" t="n"/>
      <c r="F9" s="61" t="n"/>
      <c r="G9" s="50" t="n"/>
      <c r="H9" s="49" t="n"/>
      <c r="I9" s="42" t="n"/>
      <c r="J9" s="43" t="n"/>
    </row>
    <row r="10" ht="25.5" customHeight="1" s="39">
      <c r="A10" s="44" t="inlineStr">
        <is>
          <t>TOTAL DETTES</t>
        </is>
      </c>
      <c r="B10" s="45" t="n"/>
      <c r="C10" s="45" t="n"/>
      <c r="D10" s="45" t="n"/>
      <c r="E10" s="45" t="n"/>
      <c r="F10" s="45" t="n"/>
      <c r="G10" s="45" t="n"/>
      <c r="H10" s="45" t="n"/>
      <c r="I10" s="45" t="n"/>
      <c r="J10" s="46">
        <f>SUM(J4:J9)</f>
        <v/>
      </c>
    </row>
    <row r="12" ht="15" customHeight="1" s="39">
      <c r="A12" s="47" t="inlineStr">
        <is>
          <t>LÉGENDE</t>
        </is>
      </c>
    </row>
    <row r="13" ht="15" customHeight="1" s="39">
      <c r="A13" s="48" t="inlineStr">
        <is>
          <t>• Texte bleu : Donnée à saisir manuellement</t>
        </is>
      </c>
    </row>
    <row r="14" ht="15" customHeight="1" s="39">
      <c r="A14" s="48" t="inlineStr">
        <is>
          <t>• Texte noir : Formule calculée automatiquement</t>
        </is>
      </c>
    </row>
    <row r="15" ht="15" customHeight="1" s="39">
      <c r="A15" s="48" t="inlineStr">
        <is>
          <t>• Fond jaune : Cellule obligatoire à renseigner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INDICES DE RÉFÉRENCE (perf YTD) — alimentable via fetch_indices.py (yfinance)</t>
        </is>
      </c>
    </row>
    <row r="3">
      <c r="A3" s="38" t="inlineStr">
        <is>
          <t>Libellé (figé)</t>
        </is>
      </c>
      <c r="B3" s="38" t="inlineStr">
        <is>
          <t>Performance YTD (%)</t>
        </is>
      </c>
      <c r="C3" s="38" t="inlineStr">
        <is>
          <t>Source / Ticker</t>
        </is>
      </c>
    </row>
    <row r="4">
      <c r="A4" s="38" t="inlineStr">
        <is>
          <t>S&amp;P 500</t>
        </is>
      </c>
    </row>
    <row r="5">
      <c r="A5" s="38" t="inlineStr">
        <is>
          <t>Nasdaq Composite</t>
        </is>
      </c>
    </row>
    <row r="6">
      <c r="A6" s="38" t="inlineStr">
        <is>
          <t>DJ Euro Stoxx 50</t>
        </is>
      </c>
    </row>
    <row r="7">
      <c r="A7" s="38" t="inlineStr">
        <is>
          <t>CAC 40</t>
        </is>
      </c>
    </row>
    <row r="8">
      <c r="A8" s="38" t="inlineStr">
        <is>
          <t>Once d'or (USD / once)</t>
        </is>
      </c>
    </row>
    <row r="9">
      <c r="A9" s="38" t="inlineStr">
        <is>
          <t>Pétrole USD Brent</t>
        </is>
      </c>
    </row>
    <row r="10">
      <c r="A10" s="38" t="inlineStr">
        <is>
          <t>EUR / USD</t>
        </is>
      </c>
    </row>
    <row r="11">
      <c r="A11" s="38" t="inlineStr">
        <is>
          <t>Bitcoin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VALORISATIONS DU PORTEFEUILLE (financier) — courbe d'évolution</t>
        </is>
      </c>
      <c r="E1" s="38" t="inlineStr">
        <is>
          <t>ℹ Valeur coté à chaque date (bi-mensuel). Valeur non coté seulement aux dates de réévaluation (palier maintenu sinon).</t>
        </is>
      </c>
    </row>
    <row r="3">
      <c r="A3" s="38" t="inlineStr">
        <is>
          <t>Date</t>
        </is>
      </c>
      <c r="B3" s="38" t="inlineStr">
        <is>
          <t>Valeur financier coté (€)</t>
        </is>
      </c>
      <c r="C3" s="38" t="inlineStr">
        <is>
          <t>Valeur non coté (€) — ponctuel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0" customWidth="1" style="39" min="1" max="1"/>
    <col width="16" customWidth="1" style="39" min="2" max="2"/>
    <col width="18" customWidth="1" style="39" min="3" max="3"/>
    <col width="46" customWidth="1" style="39" min="4" max="4"/>
    <col width="62" customWidth="1" style="39" min="5" max="5"/>
  </cols>
  <sheetData>
    <row r="1">
      <c r="A1" s="38" t="inlineStr">
        <is>
          <t>RENDEMENTS ANNUELS DU PORTEFEUILLE (optionnel) — alimente le bloc « Rendement annuel » et le tableau synthétique annualisé (poche cotée / non cotée / global)</t>
        </is>
      </c>
      <c r="E1" s="38" t="inlineStr">
        <is>
          <t>ℹ Une ligne par année civile révolue (l'année courante est calculée automatiquement). 'Perf non coté (%)' et 'Commentaire' sont optionnels. La poche non cotée et le rendement global n'apparaissent que si le non coté est renseigné ; le global pondère les deux poches par leur poids courant.</t>
        </is>
      </c>
    </row>
    <row r="3">
      <c r="A3" s="38" t="inlineStr">
        <is>
          <t>Année</t>
        </is>
      </c>
      <c r="B3" s="38" t="inlineStr">
        <is>
          <t>Perf coté (%)</t>
        </is>
      </c>
      <c r="C3" s="38" t="inlineStr">
        <is>
          <t>Perf non coté (%)</t>
        </is>
      </c>
      <c r="D3" s="38" t="inlineStr">
        <is>
          <t>Commentaire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ARBITRAGES DE LA PÉRIODE — PP</t>
        </is>
      </c>
    </row>
    <row r="2">
      <c r="A2" s="38" t="inlineStr">
        <is>
          <t>Faits marquants de gestion sur la période (date + libellé). Rendu déterministe dans le Widget 3 du bloc coté.</t>
        </is>
      </c>
    </row>
    <row r="3">
      <c r="A3" s="38" t="inlineStr">
        <is>
          <t>Date</t>
        </is>
      </c>
      <c r="B3" s="38" t="inlineStr">
        <is>
          <t>Libellé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DÉTAIL LIGNE À LIGNE PAR CONTRAT — PP</t>
        </is>
      </c>
    </row>
    <row r="2">
      <c r="A2" s="38" t="inlineStr">
        <is>
          <t>Le champ Contrat doit correspondre au libellé « Nature — Assureur/Banque » du contrat coté (ex. « Assurance-vie — Wealins Lux »).</t>
        </is>
      </c>
    </row>
    <row r="3">
      <c r="A3" s="38" t="inlineStr">
        <is>
          <t>Contrat</t>
        </is>
      </c>
      <c r="B3" s="38" t="inlineStr">
        <is>
          <t>Libellé</t>
        </is>
      </c>
      <c r="C3" s="38" t="inlineStr">
        <is>
          <t>ISIN</t>
        </is>
      </c>
      <c r="D3" s="38" t="inlineStr">
        <is>
          <t>Valeur (€)</t>
        </is>
      </c>
      <c r="E3" s="38" t="inlineStr">
        <is>
          <t>Perf % YTD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ARBITRAGES DE LA PÉRIODE — Holding 1</t>
        </is>
      </c>
    </row>
    <row r="2">
      <c r="A2" s="38" t="inlineStr">
        <is>
          <t>Faits marquants de gestion sur la période (date + libellé). Rendu déterministe dans le Widget 3 du bloc coté.</t>
        </is>
      </c>
    </row>
    <row r="3">
      <c r="A3" s="38" t="inlineStr">
        <is>
          <t>Date</t>
        </is>
      </c>
      <c r="B3" s="38" t="inlineStr">
        <is>
          <t>Libellé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DÉTAIL LIGNE À LIGNE PAR CONTRAT — Holding 1</t>
        </is>
      </c>
    </row>
    <row r="2">
      <c r="A2" s="38" t="inlineStr">
        <is>
          <t>Le champ Contrat doit correspondre au libellé « Nature — Assureur/Banque » du contrat coté (ex. « Assurance-vie — Wealins Lux »).</t>
        </is>
      </c>
    </row>
    <row r="3">
      <c r="A3" s="38" t="inlineStr">
        <is>
          <t>Contrat</t>
        </is>
      </c>
      <c r="B3" s="38" t="inlineStr">
        <is>
          <t>Libellé</t>
        </is>
      </c>
      <c r="C3" s="38" t="inlineStr">
        <is>
          <t>ISIN</t>
        </is>
      </c>
      <c r="D3" s="38" t="inlineStr">
        <is>
          <t>Valeur (€)</t>
        </is>
      </c>
      <c r="E3" s="38" t="inlineStr">
        <is>
          <t>Perf % YTD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ARBITRAGES DE LA PÉRIODE — Holding 2</t>
        </is>
      </c>
    </row>
    <row r="2">
      <c r="A2" s="38" t="inlineStr">
        <is>
          <t>Faits marquants de gestion sur la période (date + libellé). Rendu déterministe dans le Widget 3 du bloc coté.</t>
        </is>
      </c>
    </row>
    <row r="3">
      <c r="A3" s="38" t="inlineStr">
        <is>
          <t>Date</t>
        </is>
      </c>
      <c r="B3" s="38" t="inlineStr">
        <is>
          <t>Libellé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DÉTAIL LIGNE À LIGNE PAR CONTRAT — Holding 2</t>
        </is>
      </c>
    </row>
    <row r="2">
      <c r="A2" s="38" t="inlineStr">
        <is>
          <t>Le champ Contrat doit correspondre au libellé « Nature — Assureur/Banque » du contrat coté (ex. « Assurance-vie — Wealins Lux »).</t>
        </is>
      </c>
    </row>
    <row r="3">
      <c r="A3" s="38" t="inlineStr">
        <is>
          <t>Contrat</t>
        </is>
      </c>
      <c r="B3" s="38" t="inlineStr">
        <is>
          <t>Libellé</t>
        </is>
      </c>
      <c r="C3" s="38" t="inlineStr">
        <is>
          <t>ISIN</t>
        </is>
      </c>
      <c r="D3" s="38" t="inlineStr">
        <is>
          <t>Valeur (€)</t>
        </is>
      </c>
      <c r="E3" s="38" t="inlineStr">
        <is>
          <t>Perf % YTD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PRODUITS STRUCTURÉS — PP</t>
        </is>
      </c>
    </row>
    <row r="2">
      <c r="A2" s="38" t="inlineStr">
        <is>
          <t>Nominal, coupon annuel, dates, seuil de protection et niveau du sous-jacent ; valeur actuelle uniquement si le produit est cassé. Gain/valeur proratisés calculés par le moteur.</t>
        </is>
      </c>
    </row>
    <row r="3">
      <c r="A3" s="38" t="inlineStr">
        <is>
          <t>Nom du produit</t>
        </is>
      </c>
      <c r="B3" s="38" t="inlineStr">
        <is>
          <t>ISIN</t>
        </is>
      </c>
      <c r="C3" s="38" t="inlineStr">
        <is>
          <t>Enveloppe / Dépositaire</t>
        </is>
      </c>
      <c r="D3" s="38" t="inlineStr">
        <is>
          <t>Nominal (€)</t>
        </is>
      </c>
      <c r="E3" s="38" t="inlineStr">
        <is>
          <t>Coupon %/an</t>
        </is>
      </c>
      <c r="F3" s="38" t="inlineStr">
        <is>
          <t>Date début</t>
        </is>
      </c>
      <c r="G3" s="38" t="inlineStr">
        <is>
          <t>Durée (années)</t>
        </is>
      </c>
      <c r="H3" s="38" t="inlineStr">
        <is>
          <t>Seuil protection (%)</t>
        </is>
      </c>
      <c r="I3" s="38" t="inlineStr">
        <is>
          <t>Niveau sous-jacent (%)</t>
        </is>
      </c>
      <c r="J3" s="38" t="inlineStr">
        <is>
          <t>Valeur actuelle (€) — si cassé</t>
        </is>
      </c>
      <c r="K3" s="38" t="inlineStr">
        <is>
          <t>Classe Rhétorès</t>
        </is>
      </c>
      <c r="L3" s="38" t="inlineStr">
        <is>
          <t>Barrière de rappel (%)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PRODUITS STRUCTURÉS — Holding 1</t>
        </is>
      </c>
    </row>
    <row r="2">
      <c r="A2" s="38" t="inlineStr">
        <is>
          <t>Nominal, coupon annuel, dates, seuil de protection et niveau du sous-jacent ; valeur actuelle uniquement si le produit est cassé. Gain/valeur proratisés calculés par le moteur.</t>
        </is>
      </c>
    </row>
    <row r="3">
      <c r="A3" s="38" t="inlineStr">
        <is>
          <t>Nom du produit</t>
        </is>
      </c>
      <c r="B3" s="38" t="inlineStr">
        <is>
          <t>ISIN</t>
        </is>
      </c>
      <c r="C3" s="38" t="inlineStr">
        <is>
          <t>Enveloppe / Dépositaire</t>
        </is>
      </c>
      <c r="D3" s="38" t="inlineStr">
        <is>
          <t>Nominal (€)</t>
        </is>
      </c>
      <c r="E3" s="38" t="inlineStr">
        <is>
          <t>Coupon %/an</t>
        </is>
      </c>
      <c r="F3" s="38" t="inlineStr">
        <is>
          <t>Date début</t>
        </is>
      </c>
      <c r="G3" s="38" t="inlineStr">
        <is>
          <t>Durée (années)</t>
        </is>
      </c>
      <c r="H3" s="38" t="inlineStr">
        <is>
          <t>Seuil protection (%)</t>
        </is>
      </c>
      <c r="I3" s="38" t="inlineStr">
        <is>
          <t>Niveau sous-jacent (%)</t>
        </is>
      </c>
      <c r="J3" s="38" t="inlineStr">
        <is>
          <t>Valeur actuelle (€) — si cassé</t>
        </is>
      </c>
      <c r="K3" s="38" t="inlineStr">
        <is>
          <t>Classe Rhétorès</t>
        </is>
      </c>
      <c r="L3" s="38" t="inlineStr">
        <is>
          <t>Barrière de rappel (%)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38" t="inlineStr">
        <is>
          <t>PRODUITS STRUCTURÉS — Holding 2</t>
        </is>
      </c>
    </row>
    <row r="2">
      <c r="A2" s="38" t="inlineStr">
        <is>
          <t>Nominal, coupon annuel, dates, seuil de protection et niveau du sous-jacent ; valeur actuelle uniquement si le produit est cassé. Gain/valeur proratisés calculés par le moteur.</t>
        </is>
      </c>
    </row>
    <row r="3">
      <c r="A3" s="38" t="inlineStr">
        <is>
          <t>Nom du produit</t>
        </is>
      </c>
      <c r="B3" s="38" t="inlineStr">
        <is>
          <t>ISIN</t>
        </is>
      </c>
      <c r="C3" s="38" t="inlineStr">
        <is>
          <t>Enveloppe / Dépositaire</t>
        </is>
      </c>
      <c r="D3" s="38" t="inlineStr">
        <is>
          <t>Nominal (€)</t>
        </is>
      </c>
      <c r="E3" s="38" t="inlineStr">
        <is>
          <t>Coupon %/an</t>
        </is>
      </c>
      <c r="F3" s="38" t="inlineStr">
        <is>
          <t>Date début</t>
        </is>
      </c>
      <c r="G3" s="38" t="inlineStr">
        <is>
          <t>Durée (années)</t>
        </is>
      </c>
      <c r="H3" s="38" t="inlineStr">
        <is>
          <t>Seuil protection (%)</t>
        </is>
      </c>
      <c r="I3" s="38" t="inlineStr">
        <is>
          <t>Niveau sous-jacent (%)</t>
        </is>
      </c>
      <c r="J3" s="38" t="inlineStr">
        <is>
          <t>Valeur actuelle (€) — si cassé</t>
        </is>
      </c>
      <c r="K3" s="38" t="inlineStr">
        <is>
          <t>Classe Rhétorès</t>
        </is>
      </c>
      <c r="L3" s="38" t="inlineStr">
        <is>
          <t>Barrière de rappel (%)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HISTORIQUE DU COURS DES PRODUITS STRUCTURÉS — PP</t>
        </is>
      </c>
    </row>
    <row r="2">
      <c r="A2" t="inlineStr">
        <is>
          <t>Niveau du sous-jacent (% de l'initial) à chaque constatation, par ISIN. Sert à tracer la trajectoire réelle dans le schéma déroulant.</t>
        </is>
      </c>
    </row>
    <row r="3">
      <c r="A3" t="inlineStr">
        <is>
          <t>Date</t>
        </is>
      </c>
      <c r="B3" t="inlineStr">
        <is>
          <t>ISIN</t>
        </is>
      </c>
      <c r="C3" t="inlineStr">
        <is>
          <t>Niveau (%)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HISTORIQUE DU COURS DES PRODUITS STRUCTURÉS — Holding 1</t>
        </is>
      </c>
    </row>
    <row r="2">
      <c r="A2" t="inlineStr">
        <is>
          <t>Niveau du sous-jacent (% de l'initial) à chaque constatation, par ISIN. Sert à tracer la trajectoire réelle dans le schéma déroulant.</t>
        </is>
      </c>
    </row>
    <row r="3">
      <c r="A3" t="inlineStr">
        <is>
          <t>Date</t>
        </is>
      </c>
      <c r="B3" t="inlineStr">
        <is>
          <t>ISIN</t>
        </is>
      </c>
      <c r="C3" t="inlineStr">
        <is>
          <t>Niveau (%)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HISTORIQUE DU COURS DES PRODUITS STRUCTURÉS — Holding 2</t>
        </is>
      </c>
    </row>
    <row r="2">
      <c r="A2" t="inlineStr">
        <is>
          <t>Niveau du sous-jacent (% de l'initial) à chaque constatation, par ISIN. Sert à tracer la trajectoire réelle dans le schéma déroulant.</t>
        </is>
      </c>
    </row>
    <row r="3">
      <c r="A3" t="inlineStr">
        <is>
          <t>Date</t>
        </is>
      </c>
      <c r="B3" t="inlineStr">
        <is>
          <t>ISIN</t>
        </is>
      </c>
      <c r="C3" t="inlineStr">
        <is>
          <t>Niveau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2026-04-30T12:39:24Z</dcterms:created>
  <dcterms:modified xmlns:dcterms="http://purl.org/dc/terms/" xmlns:xsi="http://www.w3.org/2001/XMLSchema-instance" xsi:type="dcterms:W3CDTF">2026-07-10T21:56:08Z</dcterms:modified>
  <cp:lastModifiedBy xml:space="preserve">Tristan Rhétorès </cp:lastModifiedBy>
  <cp:revision>0</cp:revision>
</cp:coreProperties>
</file>